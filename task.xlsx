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6\Desktop\github\Data-Analytics\"/>
    </mc:Choice>
  </mc:AlternateContent>
  <xr:revisionPtr revIDLastSave="0" documentId="8_{12EAF1B3-14E3-48B3-9B8D-C0A84E6141F1}" xr6:coauthVersionLast="47" xr6:coauthVersionMax="47" xr10:uidLastSave="{00000000-0000-0000-0000-000000000000}"/>
  <bookViews>
    <workbookView xWindow="-120" yWindow="-120" windowWidth="29040" windowHeight="15720" activeTab="4" xr2:uid="{D8079503-01B3-4B9F-BE5E-072F6BC9476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" i="3"/>
  <c r="D12" i="2"/>
  <c r="D13" i="2"/>
  <c r="D14" i="2"/>
  <c r="D15" i="2"/>
  <c r="D16" i="2"/>
  <c r="D11" i="2"/>
  <c r="D17" i="2"/>
  <c r="D18" i="2"/>
  <c r="D19" i="2"/>
  <c r="D20" i="2"/>
  <c r="D21" i="2"/>
</calcChain>
</file>

<file path=xl/sharedStrings.xml><?xml version="1.0" encoding="utf-8"?>
<sst xmlns="http://schemas.openxmlformats.org/spreadsheetml/2006/main" count="211" uniqueCount="136">
  <si>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</si>
  <si>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</si>
  <si>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</si>
  <si>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</si>
  <si>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</si>
  <si>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</si>
  <si>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</si>
  <si>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</si>
  <si>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</si>
  <si>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</si>
  <si>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</si>
  <si>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</si>
  <si>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</si>
  <si>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</si>
  <si>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</si>
  <si>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</si>
  <si>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</si>
  <si>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</si>
  <si>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</si>
  <si>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</si>
  <si>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Prithvi Chauhaan</t>
  </si>
  <si>
    <t>Marketing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</si>
  <si>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</si>
  <si>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</si>
  <si>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</si>
  <si>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</si>
  <si>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</si>
  <si>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</si>
  <si>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</si>
  <si>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</si>
  <si>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</si>
  <si>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</si>
  <si>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</si>
  <si>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</si>
  <si>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</si>
  <si>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Jha tushar</t>
  </si>
  <si>
    <t>Ghanchi hitesh</t>
  </si>
  <si>
    <t>sales</t>
  </si>
  <si>
    <t>jay kadiya</t>
  </si>
  <si>
    <t>jyoti patel</t>
  </si>
  <si>
    <t>jiya patel</t>
  </si>
  <si>
    <t>om singh</t>
  </si>
  <si>
    <t>siani sagar</t>
  </si>
  <si>
    <t>Rajput poonam</t>
  </si>
  <si>
    <t>Rajput janvi</t>
  </si>
  <si>
    <t>Dube Arvind</t>
  </si>
  <si>
    <t>Chuahan dipika</t>
  </si>
  <si>
    <t>Gurjar Komal</t>
  </si>
  <si>
    <t>Tiwari jaya</t>
  </si>
  <si>
    <t>Manager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</si>
  <si>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</si>
  <si>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</si>
  <si>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</si>
  <si>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</si>
  <si>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</si>
  <si>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</si>
  <si>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</si>
  <si>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</si>
  <si>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</si>
  <si>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</si>
  <si>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</si>
  <si>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</si>
  <si>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</si>
  <si>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</si>
  <si>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</si>
  <si>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</si>
  <si>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 xml:space="preserve">Samsung Galaxy s25 </t>
  </si>
  <si>
    <t>Samsung galaxy s24</t>
  </si>
  <si>
    <t>Samsung galaxy s23</t>
  </si>
  <si>
    <t>Samsung galaxy s22</t>
  </si>
  <si>
    <t>Samsung galaxy s25 ultra</t>
  </si>
  <si>
    <t>Samsung galaxy s24 ultra</t>
  </si>
  <si>
    <t>Samsung galaxy s23 ultra</t>
  </si>
  <si>
    <t>Samsung galaxy s22 ultra</t>
  </si>
  <si>
    <t>Iphone 15</t>
  </si>
  <si>
    <t>iphone 16</t>
  </si>
  <si>
    <t>iphone 17</t>
  </si>
  <si>
    <t>iphone 16 pro max</t>
  </si>
  <si>
    <t xml:space="preserve"> iphone 15 pro max</t>
  </si>
  <si>
    <t>iphone 17 pro max</t>
  </si>
  <si>
    <t>iphone 13 pro max</t>
  </si>
  <si>
    <r>
      <t xml:space="preserve">                                     </t>
    </r>
    <r>
      <rPr>
        <b/>
        <sz val="16"/>
        <color theme="1"/>
        <rFont val="Calibri"/>
        <family val="2"/>
        <scheme val="minor"/>
      </rPr>
      <t>Monthly Sales Report</t>
    </r>
    <r>
      <rPr>
        <b/>
        <sz val="11"/>
        <color theme="1"/>
        <rFont val="Calibri"/>
        <family val="2"/>
        <scheme val="minor"/>
      </rPr>
      <t xml:space="preserve">       </t>
    </r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</si>
  <si>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</si>
  <si>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</si>
  <si>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</si>
  <si>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</si>
  <si>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</si>
  <si>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</si>
  <si>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</si>
  <si>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</si>
  <si>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</si>
  <si>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</si>
  <si>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</si>
  <si>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aakash</t>
  </si>
  <si>
    <t>chirag</t>
  </si>
  <si>
    <t>esha</t>
  </si>
  <si>
    <t>divya</t>
  </si>
  <si>
    <t>bhavya</t>
  </si>
  <si>
    <t>Total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</si>
  <si>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</si>
  <si>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</si>
  <si>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</si>
  <si>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</si>
  <si>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</si>
  <si>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</si>
  <si>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</si>
  <si>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</si>
  <si>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</si>
  <si>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</si>
  <si>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</si>
  <si>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</si>
  <si>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</si>
  <si>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</si>
  <si>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</si>
  <si>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</si>
  <si>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</si>
  <si>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</si>
  <si>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</si>
  <si>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</si>
  <si>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</si>
  <si>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Total Sales</t>
  </si>
  <si>
    <t>Average Sales</t>
  </si>
  <si>
    <t>Highest Sales</t>
  </si>
  <si>
    <t>Lowest Sales</t>
  </si>
  <si>
    <t>Employee Name</t>
  </si>
  <si>
    <t>Suresh</t>
  </si>
  <si>
    <t>Meena</t>
  </si>
  <si>
    <t>Karan</t>
  </si>
  <si>
    <t>Ritu</t>
  </si>
  <si>
    <t>Aman</t>
  </si>
  <si>
    <t>Neel</t>
  </si>
  <si>
    <t>Total sales</t>
  </si>
  <si>
    <t xml:space="preserve">IT Department </t>
  </si>
  <si>
    <t>HR Department</t>
  </si>
  <si>
    <t>Average salary</t>
  </si>
  <si>
    <t>Count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</si>
</sst>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[$-F800]dddd\,\ mmmm\ dd\,\ yyyy"/>
    <numFmt numFmtId="166" formatCode="&quot;₹&quot;\ #,#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"/>
      <family val="2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1F2328"/>
      <name val="Segoe UI"/>
      <family val="2"/>
    </font>
    <font>
      <b/>
      <sz val="12"/>
      <color rgb="FF1F2328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/>
      <right style="medium">
        <color rgb="FFD1D9E0"/>
      </right>
      <top/>
      <bottom/>
      <diagonal/>
    </border>
    <border>
      <left style="medium">
        <color rgb="FFD1D9E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 style="medium">
        <color rgb="FFD1D9E0"/>
      </left>
      <right/>
      <top style="medium">
        <color rgb="FFD1D9E0"/>
      </top>
      <bottom/>
      <diagonal/>
    </border>
    <border>
      <left/>
      <right style="medium">
        <color rgb="FFD1D9E0"/>
      </right>
      <top style="medium">
        <color rgb="FFD1D9E0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164" fontId="0" fillId="0" borderId="0" xfId="0" applyNumberFormat="1"/>
    <xf numFmtId="0" fontId="3" fillId="2" borderId="1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  <xf numFmtId="0" fontId="0" fillId="0" borderId="2" xfId="0" applyBorder="1"/>
    <xf numFmtId="0" fontId="5" fillId="0" borderId="2" xfId="0" applyFont="1" applyBorder="1"/>
    <xf numFmtId="0" fontId="2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0" fontId="5" fillId="5" borderId="2" xfId="0" applyFont="1" applyFill="1" applyBorder="1"/>
    <xf numFmtId="165" fontId="5" fillId="5" borderId="2" xfId="0" applyNumberFormat="1" applyFont="1" applyFill="1" applyBorder="1"/>
    <xf numFmtId="166" fontId="5" fillId="5" borderId="2" xfId="0" applyNumberFormat="1" applyFont="1" applyFill="1" applyBorder="1"/>
    <xf numFmtId="0" fontId="7" fillId="6" borderId="2" xfId="0" applyFont="1" applyFill="1" applyBorder="1" applyAlignment="1">
      <alignment horizontal="center" vertical="center" wrapText="1"/>
    </xf>
    <xf numFmtId="0" fontId="6" fillId="0" borderId="0" xfId="0" applyFont="1"/>
    <xf numFmtId="0" fontId="3" fillId="7" borderId="2" xfId="0" applyFont="1" applyFill="1" applyBorder="1" applyAlignment="1">
      <alignment horizontal="center" vertical="center" wrapText="1"/>
    </xf>
    <xf numFmtId="166" fontId="3" fillId="7" borderId="2" xfId="0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166" fontId="6" fillId="7" borderId="2" xfId="0" applyNumberFormat="1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 indent="1"/>
    </xf>
    <xf numFmtId="10" fontId="0" fillId="0" borderId="2" xfId="0" applyNumberFormat="1" applyBorder="1" applyAlignment="1">
      <alignment horizontal="center"/>
    </xf>
    <xf numFmtId="0" fontId="1" fillId="8" borderId="3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165" fontId="2" fillId="2" borderId="1" xfId="0" applyNumberFormat="1" applyFont="1" applyFill="1" applyBorder="1" applyAlignment="1">
      <alignment horizontal="left" vertical="center" wrapText="1" indent="1"/>
    </xf>
    <xf numFmtId="166" fontId="2" fillId="2" borderId="1" xfId="0" applyNumberFormat="1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4" xfId="0" applyFont="1" applyFill="1" applyBorder="1" applyAlignment="1">
      <alignment horizontal="left" vertical="center" wrapText="1" indent="1"/>
    </xf>
    <xf numFmtId="166" fontId="2" fillId="2" borderId="6" xfId="0" applyNumberFormat="1" applyFont="1" applyFill="1" applyBorder="1" applyAlignment="1">
      <alignment horizontal="center" vertical="center" wrapText="1"/>
    </xf>
    <xf numFmtId="166" fontId="2" fillId="2" borderId="0" xfId="0" applyNumberFormat="1" applyFont="1" applyFill="1" applyBorder="1" applyAlignment="1">
      <alignment horizontal="center" vertical="center" wrapText="1"/>
    </xf>
    <xf numFmtId="166" fontId="2" fillId="2" borderId="5" xfId="0" applyNumberFormat="1" applyFont="1" applyFill="1" applyBorder="1" applyAlignment="1">
      <alignment horizontal="center" vertical="center" wrapText="1"/>
    </xf>
    <xf numFmtId="166" fontId="2" fillId="2" borderId="2" xfId="0" applyNumberFormat="1" applyFont="1" applyFill="1" applyBorder="1" applyAlignment="1">
      <alignment horizontal="center" vertical="center" wrapText="1"/>
    </xf>
    <xf numFmtId="166" fontId="2" fillId="2" borderId="7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165" fontId="2" fillId="2" borderId="2" xfId="0" applyNumberFormat="1" applyFont="1" applyFill="1" applyBorder="1" applyAlignment="1">
      <alignment horizontal="left" vertical="center" wrapText="1" indent="1"/>
    </xf>
    <xf numFmtId="166" fontId="2" fillId="2" borderId="2" xfId="0" applyNumberFormat="1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165" fontId="2" fillId="3" borderId="2" xfId="0" applyNumberFormat="1" applyFont="1" applyFill="1" applyBorder="1" applyAlignment="1">
      <alignment horizontal="left" vertical="center" wrapText="1" indent="1"/>
    </xf>
    <xf numFmtId="166" fontId="2" fillId="3" borderId="2" xfId="0" applyNumberFormat="1" applyFont="1" applyFill="1" applyBorder="1" applyAlignment="1">
      <alignment horizontal="left" vertical="center" wrapText="1" indent="1"/>
    </xf>
    <xf numFmtId="166" fontId="11" fillId="10" borderId="0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6" xfId="0" applyBorder="1" applyAlignment="1">
      <alignment horizontal="center"/>
    </xf>
    <xf numFmtId="0" fontId="11" fillId="3" borderId="8" xfId="0" applyFont="1" applyFill="1" applyBorder="1" applyAlignment="1">
      <alignment horizontal="left" vertical="center" wrapText="1" inden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left" vertical="center" wrapText="1" inden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0" fillId="0" borderId="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2FA9-B17D-4899-AD10-E99D05E23357}">
  <dimension ref="A1:K20"/>
  <sheetViews>
    <sheetView workbookViewId="0">
      <selection activeCell="K6" sqref="K6"/>
    </sheetView>
  </sheetViews>
  <sheetFormatPr defaultRowHeight="15" x14ac:dyDescent="0.25"/>
  <cols>
    <col min="1" max="1" width="15.28515625" bestFit="1" customWidth="1"/>
    <col min="2" max="2" width="20.28515625" bestFit="1" customWidth="1"/>
    <col min="3" max="3" width="14.7109375" bestFit="1" customWidth="1"/>
    <col min="4" max="4" width="20" bestFit="1" customWidth="1"/>
    <col min="5" max="5" width="23" style="8" bestFit="1" customWidth="1"/>
  </cols>
  <sheetData>
    <row r="1" spans="1:11" ht="18.75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</row>
    <row r="2" spans="1:11" ht="18.75" x14ac:dyDescent="0.3">
      <c r="A2" s="9" t="s">
        <v>5</v>
      </c>
      <c r="B2" s="9" t="s">
        <v>6</v>
      </c>
      <c r="C2" s="9" t="s">
        <v>7</v>
      </c>
      <c r="D2" s="11">
        <v>32000</v>
      </c>
      <c r="E2" s="10">
        <v>44896</v>
      </c>
    </row>
    <row r="3" spans="1:11" ht="18.75" x14ac:dyDescent="0.3">
      <c r="A3" s="9" t="s">
        <v>8</v>
      </c>
      <c r="B3" s="9" t="s">
        <v>9</v>
      </c>
      <c r="C3" s="9" t="s">
        <v>10</v>
      </c>
      <c r="D3" s="11">
        <v>45000</v>
      </c>
      <c r="E3" s="10">
        <v>44897</v>
      </c>
    </row>
    <row r="4" spans="1:11" ht="18.75" x14ac:dyDescent="0.3">
      <c r="A4" s="9" t="s">
        <v>11</v>
      </c>
      <c r="B4" s="9" t="s">
        <v>12</v>
      </c>
      <c r="C4" s="9" t="s">
        <v>13</v>
      </c>
      <c r="D4" s="11">
        <v>38000</v>
      </c>
      <c r="E4" s="10">
        <v>44898</v>
      </c>
    </row>
    <row r="5" spans="1:11" ht="18.75" x14ac:dyDescent="0.3">
      <c r="A5" s="9" t="s">
        <v>14</v>
      </c>
      <c r="B5" s="9" t="s">
        <v>15</v>
      </c>
      <c r="C5" s="9" t="s">
        <v>10</v>
      </c>
      <c r="D5" s="11">
        <v>52000</v>
      </c>
      <c r="E5" s="10">
        <v>43749</v>
      </c>
    </row>
    <row r="6" spans="1:11" ht="18.75" x14ac:dyDescent="0.3">
      <c r="A6" s="9" t="s">
        <v>16</v>
      </c>
      <c r="B6" s="9" t="s">
        <v>17</v>
      </c>
      <c r="C6" s="9" t="s">
        <v>18</v>
      </c>
      <c r="D6" s="11">
        <v>30000</v>
      </c>
      <c r="E6" s="10">
        <v>43750</v>
      </c>
    </row>
    <row r="7" spans="1:11" ht="18.75" x14ac:dyDescent="0.3">
      <c r="A7" s="9" t="s">
        <v>19</v>
      </c>
      <c r="B7" s="9" t="s">
        <v>20</v>
      </c>
      <c r="C7" s="9" t="s">
        <v>21</v>
      </c>
      <c r="D7" s="11">
        <v>50000</v>
      </c>
      <c r="E7" s="10">
        <v>46154</v>
      </c>
    </row>
    <row r="8" spans="1:11" ht="18.75" x14ac:dyDescent="0.3">
      <c r="A8" s="9" t="s">
        <v>22</v>
      </c>
      <c r="B8" s="9" t="s">
        <v>35</v>
      </c>
      <c r="C8" s="9" t="s">
        <v>7</v>
      </c>
      <c r="D8" s="11">
        <v>60000</v>
      </c>
      <c r="E8" s="10">
        <v>46155</v>
      </c>
    </row>
    <row r="9" spans="1:11" ht="18.75" x14ac:dyDescent="0.3">
      <c r="A9" s="9" t="s">
        <v>23</v>
      </c>
      <c r="B9" s="9" t="s">
        <v>36</v>
      </c>
      <c r="C9" s="9" t="s">
        <v>37</v>
      </c>
      <c r="D9" s="11">
        <v>25000</v>
      </c>
      <c r="E9" s="10">
        <v>43779</v>
      </c>
      <c r="K9" s="1"/>
    </row>
    <row r="10" spans="1:11" ht="18.75" x14ac:dyDescent="0.3">
      <c r="A10" s="9" t="s">
        <v>24</v>
      </c>
      <c r="B10" s="9" t="s">
        <v>38</v>
      </c>
      <c r="C10" s="9" t="s">
        <v>7</v>
      </c>
      <c r="D10" s="11">
        <v>30000</v>
      </c>
      <c r="E10" s="10">
        <v>43780</v>
      </c>
    </row>
    <row r="11" spans="1:11" ht="18.75" x14ac:dyDescent="0.3">
      <c r="A11" s="9" t="s">
        <v>25</v>
      </c>
      <c r="B11" s="9" t="s">
        <v>39</v>
      </c>
      <c r="C11" s="9" t="s">
        <v>21</v>
      </c>
      <c r="D11" s="11">
        <v>35000</v>
      </c>
      <c r="E11" s="10">
        <v>46154</v>
      </c>
    </row>
    <row r="12" spans="1:11" ht="18.75" x14ac:dyDescent="0.3">
      <c r="A12" s="9" t="s">
        <v>26</v>
      </c>
      <c r="B12" s="9" t="s">
        <v>40</v>
      </c>
      <c r="C12" s="9" t="s">
        <v>18</v>
      </c>
      <c r="D12" s="11">
        <v>40000</v>
      </c>
      <c r="E12" s="10">
        <v>46155</v>
      </c>
    </row>
    <row r="13" spans="1:11" ht="18.75" x14ac:dyDescent="0.3">
      <c r="A13" s="9" t="s">
        <v>27</v>
      </c>
      <c r="B13" s="9" t="s">
        <v>41</v>
      </c>
      <c r="C13" s="9" t="s">
        <v>10</v>
      </c>
      <c r="D13" s="11">
        <v>30000</v>
      </c>
      <c r="E13" s="10">
        <v>46154</v>
      </c>
    </row>
    <row r="14" spans="1:11" ht="18.75" x14ac:dyDescent="0.3">
      <c r="A14" s="9" t="s">
        <v>28</v>
      </c>
      <c r="B14" s="9" t="s">
        <v>42</v>
      </c>
      <c r="C14" s="9" t="s">
        <v>7</v>
      </c>
      <c r="D14" s="11">
        <v>38000</v>
      </c>
      <c r="E14" s="10">
        <v>43324</v>
      </c>
    </row>
    <row r="15" spans="1:11" ht="18.75" x14ac:dyDescent="0.3">
      <c r="A15" s="9" t="s">
        <v>29</v>
      </c>
      <c r="B15" s="9" t="s">
        <v>43</v>
      </c>
      <c r="C15" s="9" t="s">
        <v>13</v>
      </c>
      <c r="D15" s="11">
        <v>45000</v>
      </c>
      <c r="E15" s="10">
        <v>46154</v>
      </c>
    </row>
    <row r="16" spans="1:11" ht="18.75" x14ac:dyDescent="0.3">
      <c r="A16" s="9" t="s">
        <v>30</v>
      </c>
      <c r="B16" s="9" t="s">
        <v>44</v>
      </c>
      <c r="C16" s="9" t="s">
        <v>10</v>
      </c>
      <c r="D16" s="11">
        <v>28500</v>
      </c>
      <c r="E16" s="10">
        <v>45942</v>
      </c>
    </row>
    <row r="17" spans="1:5" ht="18.75" x14ac:dyDescent="0.3">
      <c r="A17" s="9" t="s">
        <v>31</v>
      </c>
      <c r="B17" s="9" t="s">
        <v>45</v>
      </c>
      <c r="C17" s="9" t="s">
        <v>21</v>
      </c>
      <c r="D17" s="11">
        <v>34600</v>
      </c>
      <c r="E17" s="10">
        <v>45943</v>
      </c>
    </row>
    <row r="18" spans="1:5" ht="18.75" x14ac:dyDescent="0.3">
      <c r="A18" s="9" t="s">
        <v>32</v>
      </c>
      <c r="B18" s="9" t="s">
        <v>46</v>
      </c>
      <c r="C18" s="9" t="s">
        <v>7</v>
      </c>
      <c r="D18" s="11">
        <v>55000</v>
      </c>
      <c r="E18" s="10">
        <v>45973</v>
      </c>
    </row>
    <row r="19" spans="1:5" ht="18.75" x14ac:dyDescent="0.3">
      <c r="A19" s="9" t="s">
        <v>33</v>
      </c>
      <c r="B19" s="9" t="s">
        <v>47</v>
      </c>
      <c r="C19" s="9" t="s">
        <v>21</v>
      </c>
      <c r="D19" s="11">
        <v>35000</v>
      </c>
      <c r="E19" s="10">
        <v>46004</v>
      </c>
    </row>
    <row r="20" spans="1:5" ht="18.75" x14ac:dyDescent="0.3">
      <c r="A20" s="9" t="s">
        <v>34</v>
      </c>
      <c r="B20" s="9" t="s">
        <v>48</v>
      </c>
      <c r="C20" s="9" t="s">
        <v>49</v>
      </c>
      <c r="D20" s="11">
        <v>100000</v>
      </c>
      <c r="E20" s="10">
        <v>45313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454F-31E5-422D-9BAD-34D752C35064}">
  <dimension ref="A1:P22"/>
  <sheetViews>
    <sheetView workbookViewId="0">
      <selection activeCell="H16" sqref="H16"/>
    </sheetView>
  </sheetViews>
  <sheetFormatPr defaultRowHeight="15" x14ac:dyDescent="0.25"/>
  <cols>
    <col min="1" max="1" width="29.5703125" bestFit="1" customWidth="1"/>
    <col min="3" max="3" width="13.7109375" bestFit="1" customWidth="1"/>
    <col min="4" max="4" width="15" bestFit="1" customWidth="1"/>
  </cols>
  <sheetData>
    <row r="1" spans="1:16" ht="36" customHeight="1" x14ac:dyDescent="0.25">
      <c r="A1" s="23" t="s">
        <v>81</v>
      </c>
      <c r="B1" s="23"/>
      <c r="C1" s="23"/>
      <c r="D1" s="23"/>
    </row>
    <row r="2" spans="1:16" ht="34.5" x14ac:dyDescent="0.25">
      <c r="A2" s="12" t="s">
        <v>50</v>
      </c>
      <c r="B2" s="12" t="s">
        <v>51</v>
      </c>
      <c r="C2" s="12" t="s">
        <v>52</v>
      </c>
      <c r="D2" s="12" t="s">
        <v>53</v>
      </c>
      <c r="E2" s="7"/>
      <c r="F2" s="7"/>
    </row>
    <row r="3" spans="1:16" ht="42" customHeight="1" x14ac:dyDescent="0.25">
      <c r="A3" s="14" t="s">
        <v>54</v>
      </c>
      <c r="B3" s="14" t="s">
        <v>55</v>
      </c>
      <c r="C3" s="15">
        <v>45000</v>
      </c>
      <c r="D3" s="14" t="s">
        <v>56</v>
      </c>
      <c r="E3" s="4"/>
      <c r="F3" s="4"/>
    </row>
    <row r="4" spans="1:16" ht="19.5" customHeight="1" x14ac:dyDescent="0.25">
      <c r="A4" s="14" t="s">
        <v>57</v>
      </c>
      <c r="B4" s="14" t="s">
        <v>58</v>
      </c>
      <c r="C4" s="15">
        <v>1200</v>
      </c>
      <c r="D4" s="14" t="s">
        <v>59</v>
      </c>
      <c r="E4" s="3"/>
      <c r="F4" s="3"/>
      <c r="P4" s="4"/>
    </row>
    <row r="5" spans="1:16" ht="17.25" customHeight="1" x14ac:dyDescent="0.25">
      <c r="A5" s="14" t="s">
        <v>60</v>
      </c>
      <c r="B5" s="14" t="s">
        <v>61</v>
      </c>
      <c r="C5" s="15">
        <v>18000</v>
      </c>
      <c r="D5" s="14" t="s">
        <v>62</v>
      </c>
      <c r="E5" s="4"/>
      <c r="F5" s="4"/>
      <c r="P5" s="3"/>
    </row>
    <row r="6" spans="1:16" ht="36.75" customHeight="1" x14ac:dyDescent="0.25">
      <c r="A6" s="14" t="s">
        <v>63</v>
      </c>
      <c r="B6" s="14" t="s">
        <v>64</v>
      </c>
      <c r="C6" s="15">
        <v>62000</v>
      </c>
      <c r="D6" s="14" t="s">
        <v>65</v>
      </c>
      <c r="E6" s="3"/>
      <c r="F6" s="3"/>
      <c r="K6" s="5"/>
      <c r="P6" s="4"/>
    </row>
    <row r="7" spans="1:16" ht="18.75" x14ac:dyDescent="0.3">
      <c r="A7" s="16" t="s">
        <v>66</v>
      </c>
      <c r="B7" s="17" t="s">
        <v>55</v>
      </c>
      <c r="C7" s="18">
        <v>70000</v>
      </c>
      <c r="D7" s="14" t="s">
        <v>65</v>
      </c>
      <c r="E7" s="6"/>
      <c r="F7" s="5"/>
      <c r="K7" s="5"/>
      <c r="P7" s="3"/>
    </row>
    <row r="8" spans="1:16" ht="18.75" x14ac:dyDescent="0.3">
      <c r="A8" s="16" t="s">
        <v>67</v>
      </c>
      <c r="B8" s="17" t="s">
        <v>58</v>
      </c>
      <c r="C8" s="18">
        <v>65000</v>
      </c>
      <c r="D8" s="14" t="s">
        <v>56</v>
      </c>
      <c r="E8" s="6"/>
      <c r="F8" s="5"/>
      <c r="K8" s="5"/>
      <c r="P8" s="3"/>
    </row>
    <row r="9" spans="1:16" ht="18.75" x14ac:dyDescent="0.3">
      <c r="A9" s="16" t="s">
        <v>68</v>
      </c>
      <c r="B9" s="17" t="s">
        <v>61</v>
      </c>
      <c r="C9" s="18">
        <v>60000</v>
      </c>
      <c r="D9" s="14" t="s">
        <v>59</v>
      </c>
      <c r="E9" s="6"/>
      <c r="F9" s="5"/>
      <c r="K9" s="5"/>
      <c r="P9" s="3"/>
    </row>
    <row r="10" spans="1:16" ht="18.75" x14ac:dyDescent="0.3">
      <c r="A10" s="16" t="s">
        <v>69</v>
      </c>
      <c r="B10" s="17" t="s">
        <v>64</v>
      </c>
      <c r="C10" s="18">
        <v>50000</v>
      </c>
      <c r="D10" s="14" t="s">
        <v>62</v>
      </c>
      <c r="E10" s="6"/>
      <c r="F10" s="5"/>
      <c r="K10" s="5"/>
      <c r="P10" s="3"/>
    </row>
    <row r="11" spans="1:16" ht="18.75" x14ac:dyDescent="0.3">
      <c r="A11" s="16" t="s">
        <v>70</v>
      </c>
      <c r="B11" s="17" t="s">
        <v>55</v>
      </c>
      <c r="C11" s="18">
        <v>130000</v>
      </c>
      <c r="D11" s="17" t="str">
        <f ca="1">CHOOSE(RANDBETWEEN(1,4),"Ramesh","Sneha","Arjun","Kavita")</f>
        <v>Sneha</v>
      </c>
      <c r="E11" s="6"/>
      <c r="F11" s="5"/>
      <c r="K11" s="5"/>
      <c r="P11" s="3"/>
    </row>
    <row r="12" spans="1:16" ht="18.75" x14ac:dyDescent="0.3">
      <c r="A12" s="16" t="s">
        <v>71</v>
      </c>
      <c r="B12" s="17" t="s">
        <v>58</v>
      </c>
      <c r="C12" s="18">
        <v>120000</v>
      </c>
      <c r="D12" s="17" t="str">
        <f t="shared" ref="D12:D21" ca="1" si="0">CHOOSE(RANDBETWEEN(1,4),"Ramesh","Sneha","Arjun","Kavita")</f>
        <v>Sneha</v>
      </c>
      <c r="E12" s="6"/>
      <c r="F12" s="5"/>
      <c r="K12" s="5"/>
      <c r="P12" s="5"/>
    </row>
    <row r="13" spans="1:16" ht="18.75" x14ac:dyDescent="0.3">
      <c r="A13" s="16" t="s">
        <v>72</v>
      </c>
      <c r="B13" s="17" t="s">
        <v>61</v>
      </c>
      <c r="C13" s="18">
        <v>100000</v>
      </c>
      <c r="D13" s="17" t="str">
        <f t="shared" ca="1" si="0"/>
        <v>Arjun</v>
      </c>
      <c r="E13" s="6"/>
      <c r="F13" s="5"/>
      <c r="K13" s="5"/>
      <c r="P13" s="5"/>
    </row>
    <row r="14" spans="1:16" ht="18.75" x14ac:dyDescent="0.3">
      <c r="A14" s="16" t="s">
        <v>73</v>
      </c>
      <c r="B14" s="17" t="s">
        <v>64</v>
      </c>
      <c r="C14" s="18">
        <v>90000</v>
      </c>
      <c r="D14" s="17" t="str">
        <f t="shared" ca="1" si="0"/>
        <v>Arjun</v>
      </c>
      <c r="E14" s="6"/>
      <c r="F14" s="5"/>
      <c r="K14" s="5"/>
      <c r="P14" s="5"/>
    </row>
    <row r="15" spans="1:16" ht="18.75" x14ac:dyDescent="0.3">
      <c r="A15" s="16" t="s">
        <v>74</v>
      </c>
      <c r="B15" s="17" t="s">
        <v>55</v>
      </c>
      <c r="C15" s="18">
        <v>75000</v>
      </c>
      <c r="D15" s="17" t="str">
        <f t="shared" ca="1" si="0"/>
        <v>Ramesh</v>
      </c>
      <c r="E15" s="6"/>
      <c r="F15" s="5"/>
      <c r="K15" s="5"/>
      <c r="P15" s="5"/>
    </row>
    <row r="16" spans="1:16" ht="18.75" x14ac:dyDescent="0.3">
      <c r="A16" s="16" t="s">
        <v>75</v>
      </c>
      <c r="B16" s="17" t="s">
        <v>61</v>
      </c>
      <c r="C16" s="18">
        <v>80000</v>
      </c>
      <c r="D16" s="17" t="str">
        <f t="shared" ca="1" si="0"/>
        <v>Kavita</v>
      </c>
      <c r="E16" s="6"/>
      <c r="F16" s="5"/>
      <c r="P16" s="5"/>
    </row>
    <row r="17" spans="1:16" ht="18.75" x14ac:dyDescent="0.3">
      <c r="A17" s="16" t="s">
        <v>76</v>
      </c>
      <c r="B17" s="17" t="s">
        <v>58</v>
      </c>
      <c r="C17" s="18">
        <v>85000</v>
      </c>
      <c r="D17" s="17" t="str">
        <f t="shared" ca="1" si="0"/>
        <v>Ramesh</v>
      </c>
      <c r="E17" s="6"/>
      <c r="F17" s="5"/>
      <c r="P17" s="5"/>
    </row>
    <row r="18" spans="1:16" ht="18.75" x14ac:dyDescent="0.3">
      <c r="A18" s="16" t="s">
        <v>78</v>
      </c>
      <c r="B18" s="17" t="s">
        <v>64</v>
      </c>
      <c r="C18" s="18">
        <v>120000</v>
      </c>
      <c r="D18" s="17" t="str">
        <f t="shared" ca="1" si="0"/>
        <v>Kavita</v>
      </c>
      <c r="E18" s="6"/>
      <c r="F18" s="5"/>
      <c r="P18" s="5"/>
    </row>
    <row r="19" spans="1:16" ht="18.75" x14ac:dyDescent="0.3">
      <c r="A19" s="16" t="s">
        <v>77</v>
      </c>
      <c r="B19" s="17" t="s">
        <v>55</v>
      </c>
      <c r="C19" s="18">
        <v>130000</v>
      </c>
      <c r="D19" s="17" t="str">
        <f t="shared" ca="1" si="0"/>
        <v>Arjun</v>
      </c>
      <c r="E19" s="6"/>
      <c r="F19" s="5"/>
      <c r="P19" s="5"/>
    </row>
    <row r="20" spans="1:16" ht="18.75" x14ac:dyDescent="0.3">
      <c r="A20" s="16" t="s">
        <v>79</v>
      </c>
      <c r="B20" s="17" t="s">
        <v>58</v>
      </c>
      <c r="C20" s="18">
        <v>150000</v>
      </c>
      <c r="D20" s="17" t="str">
        <f t="shared" ca="1" si="0"/>
        <v>Sneha</v>
      </c>
      <c r="E20" s="6"/>
      <c r="F20" s="5"/>
      <c r="P20" s="5"/>
    </row>
    <row r="21" spans="1:16" ht="18.75" x14ac:dyDescent="0.3">
      <c r="A21" s="16" t="s">
        <v>80</v>
      </c>
      <c r="B21" s="17" t="s">
        <v>61</v>
      </c>
      <c r="C21" s="18">
        <v>100000</v>
      </c>
      <c r="D21" s="17" t="str">
        <f t="shared" ca="1" si="0"/>
        <v>Kavita</v>
      </c>
      <c r="E21" s="6"/>
      <c r="F21" s="5"/>
      <c r="P21" s="5"/>
    </row>
    <row r="22" spans="1:16" ht="15.75" x14ac:dyDescent="0.25">
      <c r="D22" s="13"/>
      <c r="P22" s="5"/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DBF6-E409-48F7-86FC-1A4BAAECCC4B}">
  <dimension ref="A1:N31"/>
  <sheetViews>
    <sheetView workbookViewId="0">
      <selection activeCell="G7" sqref="G7"/>
    </sheetView>
  </sheetViews>
  <sheetFormatPr defaultRowHeight="15" x14ac:dyDescent="0.25"/>
  <sheetData>
    <row r="1" spans="1:14" ht="34.5" x14ac:dyDescent="0.25">
      <c r="A1" s="7" t="s">
        <v>82</v>
      </c>
      <c r="B1" s="7" t="s">
        <v>83</v>
      </c>
      <c r="C1" s="7" t="s">
        <v>84</v>
      </c>
      <c r="D1" s="7" t="s">
        <v>85</v>
      </c>
      <c r="E1" s="7" t="s">
        <v>86</v>
      </c>
      <c r="F1" s="7" t="s">
        <v>98</v>
      </c>
      <c r="G1" s="7" t="s">
        <v>87</v>
      </c>
    </row>
    <row r="2" spans="1:14" ht="17.25" x14ac:dyDescent="0.25">
      <c r="A2" s="4">
        <v>1</v>
      </c>
      <c r="B2" s="20" t="s">
        <v>88</v>
      </c>
      <c r="C2" s="20">
        <v>78</v>
      </c>
      <c r="D2" s="20">
        <v>82</v>
      </c>
      <c r="E2" s="20">
        <v>74</v>
      </c>
      <c r="F2" s="4">
        <f>SUM(C2:E2)</f>
        <v>234</v>
      </c>
      <c r="G2" s="22">
        <v>0.78</v>
      </c>
    </row>
    <row r="3" spans="1:14" ht="17.25" x14ac:dyDescent="0.25">
      <c r="A3" s="3">
        <v>2</v>
      </c>
      <c r="B3" s="20" t="s">
        <v>89</v>
      </c>
      <c r="C3" s="20">
        <v>65</v>
      </c>
      <c r="D3" s="20">
        <v>70</v>
      </c>
      <c r="E3" s="20">
        <v>68</v>
      </c>
      <c r="F3" s="4">
        <f t="shared" ref="F3:F20" si="0">SUM(C3:E3)</f>
        <v>203</v>
      </c>
      <c r="G3" s="22">
        <v>0.67666666666666664</v>
      </c>
    </row>
    <row r="4" spans="1:14" ht="17.25" x14ac:dyDescent="0.25">
      <c r="A4" s="4">
        <v>3</v>
      </c>
      <c r="B4" s="20" t="s">
        <v>90</v>
      </c>
      <c r="C4" s="20">
        <v>90</v>
      </c>
      <c r="D4" s="20">
        <v>88</v>
      </c>
      <c r="E4" s="20">
        <v>92</v>
      </c>
      <c r="F4" s="4">
        <f t="shared" si="0"/>
        <v>270</v>
      </c>
      <c r="G4" s="22">
        <v>0.9</v>
      </c>
    </row>
    <row r="5" spans="1:14" ht="17.25" x14ac:dyDescent="0.25">
      <c r="A5" s="4">
        <v>4</v>
      </c>
      <c r="B5" s="20" t="s">
        <v>91</v>
      </c>
      <c r="C5" s="20">
        <v>35</v>
      </c>
      <c r="D5" s="20">
        <v>40</v>
      </c>
      <c r="E5" s="20">
        <v>38</v>
      </c>
      <c r="F5" s="4">
        <f t="shared" si="0"/>
        <v>113</v>
      </c>
      <c r="G5" s="22">
        <v>0.37666666666666665</v>
      </c>
    </row>
    <row r="6" spans="1:14" ht="17.25" x14ac:dyDescent="0.25">
      <c r="A6" s="4">
        <v>5</v>
      </c>
      <c r="B6" s="20" t="s">
        <v>92</v>
      </c>
      <c r="C6" s="20">
        <v>55</v>
      </c>
      <c r="D6" s="20">
        <v>60</v>
      </c>
      <c r="E6" s="20">
        <v>58</v>
      </c>
      <c r="F6" s="4">
        <f t="shared" si="0"/>
        <v>173</v>
      </c>
      <c r="G6" s="22">
        <v>0.57666666666666666</v>
      </c>
    </row>
    <row r="7" spans="1:14" ht="17.25" x14ac:dyDescent="0.25">
      <c r="A7" s="4">
        <v>6</v>
      </c>
      <c r="B7" s="20" t="s">
        <v>97</v>
      </c>
      <c r="C7" s="20">
        <v>35</v>
      </c>
      <c r="D7" s="20">
        <v>49</v>
      </c>
      <c r="E7" s="20">
        <v>67</v>
      </c>
      <c r="F7" s="4">
        <f t="shared" si="0"/>
        <v>151</v>
      </c>
      <c r="G7" s="22">
        <v>0.5033333333333333</v>
      </c>
    </row>
    <row r="8" spans="1:14" ht="17.25" x14ac:dyDescent="0.25">
      <c r="A8" s="4">
        <v>7</v>
      </c>
      <c r="B8" s="20" t="s">
        <v>96</v>
      </c>
      <c r="C8" s="20">
        <v>53</v>
      </c>
      <c r="D8" s="20">
        <v>89</v>
      </c>
      <c r="E8" s="20">
        <v>41</v>
      </c>
      <c r="F8" s="4">
        <f t="shared" si="0"/>
        <v>183</v>
      </c>
      <c r="G8" s="22">
        <v>0.61</v>
      </c>
    </row>
    <row r="9" spans="1:14" ht="17.25" x14ac:dyDescent="0.25">
      <c r="A9" s="4">
        <v>8</v>
      </c>
      <c r="B9" s="20" t="s">
        <v>97</v>
      </c>
      <c r="C9" s="20">
        <v>81</v>
      </c>
      <c r="D9" s="20">
        <v>50</v>
      </c>
      <c r="E9" s="20">
        <v>71</v>
      </c>
      <c r="F9" s="4">
        <f t="shared" si="0"/>
        <v>202</v>
      </c>
      <c r="G9" s="22">
        <v>0.67333333333333334</v>
      </c>
    </row>
    <row r="10" spans="1:14" ht="17.25" x14ac:dyDescent="0.25">
      <c r="A10" s="4">
        <v>9</v>
      </c>
      <c r="B10" s="20" t="s">
        <v>94</v>
      </c>
      <c r="C10" s="20">
        <v>42</v>
      </c>
      <c r="D10" s="20">
        <v>65</v>
      </c>
      <c r="E10" s="20">
        <v>63</v>
      </c>
      <c r="F10" s="4">
        <f t="shared" si="0"/>
        <v>170</v>
      </c>
      <c r="G10" s="22">
        <v>0.56666666666666665</v>
      </c>
    </row>
    <row r="11" spans="1:14" ht="17.25" x14ac:dyDescent="0.25">
      <c r="A11" s="4">
        <v>10</v>
      </c>
      <c r="B11" s="20" t="s">
        <v>94</v>
      </c>
      <c r="C11" s="20">
        <v>73</v>
      </c>
      <c r="D11" s="20">
        <v>83</v>
      </c>
      <c r="E11" s="20">
        <v>81</v>
      </c>
      <c r="F11" s="4">
        <f t="shared" si="0"/>
        <v>237</v>
      </c>
      <c r="G11" s="22">
        <v>0.79</v>
      </c>
    </row>
    <row r="12" spans="1:14" ht="17.25" x14ac:dyDescent="0.25">
      <c r="A12" s="4">
        <v>11</v>
      </c>
      <c r="B12" s="20" t="s">
        <v>95</v>
      </c>
      <c r="C12" s="20">
        <v>67</v>
      </c>
      <c r="D12" s="20">
        <v>57</v>
      </c>
      <c r="E12" s="20">
        <v>64</v>
      </c>
      <c r="F12" s="4">
        <f t="shared" si="0"/>
        <v>188</v>
      </c>
      <c r="G12" s="22">
        <v>0.62666666666666671</v>
      </c>
    </row>
    <row r="13" spans="1:14" ht="17.25" x14ac:dyDescent="0.25">
      <c r="A13" s="4">
        <v>12</v>
      </c>
      <c r="B13" s="20" t="s">
        <v>94</v>
      </c>
      <c r="C13" s="20">
        <v>51</v>
      </c>
      <c r="D13" s="20">
        <v>48</v>
      </c>
      <c r="E13" s="20">
        <v>67</v>
      </c>
      <c r="F13" s="4">
        <f t="shared" si="0"/>
        <v>166</v>
      </c>
      <c r="G13" s="22">
        <v>0.55333333333333334</v>
      </c>
      <c r="N13" s="22"/>
    </row>
    <row r="14" spans="1:14" ht="17.25" x14ac:dyDescent="0.25">
      <c r="A14" s="4">
        <v>13</v>
      </c>
      <c r="B14" s="20" t="s">
        <v>95</v>
      </c>
      <c r="C14" s="20">
        <v>100</v>
      </c>
      <c r="D14" s="20">
        <v>51</v>
      </c>
      <c r="E14" s="20">
        <v>88</v>
      </c>
      <c r="F14" s="4">
        <f t="shared" si="0"/>
        <v>239</v>
      </c>
      <c r="G14" s="22">
        <v>0.79666666666666663</v>
      </c>
      <c r="N14" s="22"/>
    </row>
    <row r="15" spans="1:14" ht="17.25" x14ac:dyDescent="0.25">
      <c r="A15" s="4">
        <v>14</v>
      </c>
      <c r="B15" s="20" t="s">
        <v>97</v>
      </c>
      <c r="C15" s="20">
        <v>57</v>
      </c>
      <c r="D15" s="20">
        <v>42</v>
      </c>
      <c r="E15" s="20">
        <v>100</v>
      </c>
      <c r="F15" s="4">
        <f t="shared" si="0"/>
        <v>199</v>
      </c>
      <c r="G15" s="22">
        <v>0.66333333333333333</v>
      </c>
      <c r="N15" s="22"/>
    </row>
    <row r="16" spans="1:14" ht="17.25" x14ac:dyDescent="0.25">
      <c r="A16" s="4">
        <v>15</v>
      </c>
      <c r="B16" s="20" t="s">
        <v>96</v>
      </c>
      <c r="C16" s="20">
        <v>95</v>
      </c>
      <c r="D16" s="20">
        <v>97</v>
      </c>
      <c r="E16" s="20">
        <v>57</v>
      </c>
      <c r="F16" s="4">
        <f t="shared" si="0"/>
        <v>249</v>
      </c>
      <c r="G16" s="22">
        <v>0.83</v>
      </c>
      <c r="N16" s="22"/>
    </row>
    <row r="17" spans="1:14" ht="17.25" x14ac:dyDescent="0.25">
      <c r="A17" s="4">
        <v>16</v>
      </c>
      <c r="B17" s="20" t="s">
        <v>96</v>
      </c>
      <c r="C17" s="20">
        <v>60</v>
      </c>
      <c r="D17" s="20">
        <v>44</v>
      </c>
      <c r="E17" s="20">
        <v>54</v>
      </c>
      <c r="F17" s="4">
        <f t="shared" si="0"/>
        <v>158</v>
      </c>
      <c r="G17" s="22">
        <v>0.52666666666666662</v>
      </c>
      <c r="N17" s="22"/>
    </row>
    <row r="18" spans="1:14" ht="17.25" x14ac:dyDescent="0.25">
      <c r="A18" s="4">
        <v>17</v>
      </c>
      <c r="B18" s="20" t="s">
        <v>93</v>
      </c>
      <c r="C18" s="20">
        <v>57</v>
      </c>
      <c r="D18" s="20">
        <v>39</v>
      </c>
      <c r="E18" s="20">
        <v>43</v>
      </c>
      <c r="F18" s="4">
        <f t="shared" si="0"/>
        <v>139</v>
      </c>
      <c r="G18" s="22">
        <v>0.46333333333333332</v>
      </c>
      <c r="N18" s="22"/>
    </row>
    <row r="19" spans="1:14" ht="17.25" x14ac:dyDescent="0.25">
      <c r="A19" s="4">
        <v>18</v>
      </c>
      <c r="B19" s="20" t="s">
        <v>97</v>
      </c>
      <c r="C19" s="20">
        <v>47</v>
      </c>
      <c r="D19" s="20">
        <v>64</v>
      </c>
      <c r="E19" s="20">
        <v>88</v>
      </c>
      <c r="F19" s="4">
        <f t="shared" si="0"/>
        <v>199</v>
      </c>
      <c r="G19" s="22">
        <v>0.66333333333333333</v>
      </c>
      <c r="N19" s="22"/>
    </row>
    <row r="20" spans="1:14" ht="17.25" x14ac:dyDescent="0.25">
      <c r="A20" s="4">
        <v>19</v>
      </c>
      <c r="B20" s="20" t="s">
        <v>95</v>
      </c>
      <c r="C20" s="20">
        <v>73</v>
      </c>
      <c r="D20" s="20">
        <v>78</v>
      </c>
      <c r="E20" s="20">
        <v>91</v>
      </c>
      <c r="F20" s="4">
        <f t="shared" si="0"/>
        <v>242</v>
      </c>
      <c r="G20" s="22">
        <v>0.80666666666666664</v>
      </c>
      <c r="N20" s="22"/>
    </row>
    <row r="21" spans="1:14" ht="18" thickBot="1" x14ac:dyDescent="0.3">
      <c r="A21" s="21"/>
      <c r="N21" s="22"/>
    </row>
    <row r="22" spans="1:14" ht="18" thickBot="1" x14ac:dyDescent="0.3">
      <c r="A22" s="2"/>
      <c r="N22" s="22"/>
    </row>
    <row r="23" spans="1:14" ht="18" thickBot="1" x14ac:dyDescent="0.3">
      <c r="A23" s="2"/>
      <c r="N23" s="22"/>
    </row>
    <row r="24" spans="1:14" x14ac:dyDescent="0.25">
      <c r="N24" s="22"/>
    </row>
    <row r="25" spans="1:14" x14ac:dyDescent="0.25">
      <c r="N25" s="22"/>
    </row>
    <row r="26" spans="1:14" x14ac:dyDescent="0.25">
      <c r="N26" s="22"/>
    </row>
    <row r="27" spans="1:14" x14ac:dyDescent="0.25">
      <c r="N27" s="22"/>
    </row>
    <row r="28" spans="1:14" x14ac:dyDescent="0.25">
      <c r="N28" s="22"/>
    </row>
    <row r="29" spans="1:14" x14ac:dyDescent="0.25">
      <c r="N29" s="22"/>
    </row>
    <row r="30" spans="1:14" x14ac:dyDescent="0.25">
      <c r="N30" s="22"/>
    </row>
    <row r="31" spans="1:14" x14ac:dyDescent="0.25">
      <c r="N31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F3D10-646F-4D92-8CA2-B6E23FDE7F6D}">
  <dimension ref="A1:S26"/>
  <sheetViews>
    <sheetView workbookViewId="0">
      <selection activeCell="N11" sqref="N11"/>
    </sheetView>
  </sheetViews>
  <sheetFormatPr defaultRowHeight="15" x14ac:dyDescent="0.25"/>
  <cols>
    <col min="1" max="1" width="13.42578125" bestFit="1" customWidth="1"/>
    <col min="2" max="2" width="22.42578125" bestFit="1" customWidth="1"/>
    <col min="3" max="3" width="14.42578125" bestFit="1" customWidth="1"/>
    <col min="9" max="9" width="16.42578125" customWidth="1"/>
    <col min="10" max="10" width="15.7109375" customWidth="1"/>
    <col min="11" max="11" width="13.42578125" customWidth="1"/>
    <col min="16" max="16" width="22.28515625" customWidth="1"/>
    <col min="17" max="17" width="17.28515625" customWidth="1"/>
    <col min="19" max="19" width="20.28515625" customWidth="1"/>
  </cols>
  <sheetData>
    <row r="1" spans="1:19" ht="34.5" x14ac:dyDescent="0.25">
      <c r="A1" s="37" t="s">
        <v>99</v>
      </c>
      <c r="B1" s="37" t="s">
        <v>100</v>
      </c>
      <c r="C1" s="37" t="s">
        <v>52</v>
      </c>
      <c r="D1" s="5"/>
      <c r="E1" s="5"/>
      <c r="F1" s="5"/>
      <c r="G1" s="5"/>
      <c r="H1" s="5"/>
      <c r="I1" s="5"/>
      <c r="J1" s="5"/>
      <c r="K1" s="5"/>
    </row>
    <row r="2" spans="1:19" ht="17.25" x14ac:dyDescent="0.25">
      <c r="A2" s="38" t="s">
        <v>101</v>
      </c>
      <c r="B2" s="39">
        <v>45292</v>
      </c>
      <c r="C2" s="40">
        <v>12000</v>
      </c>
      <c r="D2" s="5"/>
      <c r="E2" s="5"/>
      <c r="F2" s="5"/>
      <c r="G2" s="5"/>
      <c r="H2" s="5"/>
      <c r="I2" s="5"/>
      <c r="J2" s="5"/>
      <c r="K2" s="5"/>
    </row>
    <row r="3" spans="1:19" ht="17.25" x14ac:dyDescent="0.25">
      <c r="A3" s="41" t="s">
        <v>102</v>
      </c>
      <c r="B3" s="42">
        <v>45352</v>
      </c>
      <c r="C3" s="43">
        <v>25000</v>
      </c>
      <c r="D3" s="5"/>
      <c r="E3" s="5"/>
      <c r="F3" s="5"/>
      <c r="G3" s="5"/>
      <c r="H3" s="5"/>
      <c r="I3" s="5"/>
      <c r="J3" s="5"/>
      <c r="K3" s="5"/>
    </row>
    <row r="4" spans="1:19" ht="17.25" x14ac:dyDescent="0.25">
      <c r="A4" s="38" t="s">
        <v>103</v>
      </c>
      <c r="B4" s="39">
        <v>45413</v>
      </c>
      <c r="C4" s="40">
        <v>8000</v>
      </c>
      <c r="D4" s="5"/>
      <c r="E4" s="5"/>
      <c r="F4" s="5"/>
      <c r="G4" s="5"/>
      <c r="H4" s="5"/>
      <c r="I4" s="5"/>
      <c r="J4" s="5"/>
      <c r="K4" s="5"/>
    </row>
    <row r="5" spans="1:19" ht="17.25" x14ac:dyDescent="0.25">
      <c r="A5" s="41" t="s">
        <v>104</v>
      </c>
      <c r="B5" s="42">
        <v>45505</v>
      </c>
      <c r="C5" s="43">
        <v>32000</v>
      </c>
      <c r="D5" s="5"/>
      <c r="E5" s="5"/>
      <c r="F5" s="5"/>
      <c r="G5" s="5"/>
      <c r="H5" s="5"/>
      <c r="I5" s="5"/>
      <c r="J5" s="5"/>
      <c r="K5" s="5"/>
    </row>
    <row r="6" spans="1:19" ht="17.25" x14ac:dyDescent="0.25">
      <c r="A6" s="41" t="s">
        <v>105</v>
      </c>
      <c r="B6" s="39">
        <v>45566</v>
      </c>
      <c r="C6" s="40">
        <v>15000</v>
      </c>
      <c r="D6" s="5"/>
      <c r="E6" s="5"/>
      <c r="F6" s="5"/>
      <c r="G6" s="5"/>
      <c r="H6" s="5"/>
      <c r="I6" s="5"/>
      <c r="J6" s="5"/>
      <c r="K6" s="5"/>
    </row>
    <row r="7" spans="1:19" ht="17.25" x14ac:dyDescent="0.25">
      <c r="A7" s="41" t="s">
        <v>106</v>
      </c>
      <c r="B7" s="39">
        <v>44250</v>
      </c>
      <c r="C7" s="40">
        <v>11692</v>
      </c>
      <c r="D7" s="5"/>
      <c r="E7" s="5"/>
      <c r="F7" s="5"/>
      <c r="G7" s="5"/>
      <c r="H7" s="5"/>
      <c r="I7" s="5"/>
      <c r="J7" s="5"/>
      <c r="K7" s="5"/>
      <c r="P7" s="32"/>
      <c r="Q7" s="33"/>
      <c r="R7" s="33"/>
      <c r="S7" s="34"/>
    </row>
    <row r="8" spans="1:19" ht="17.25" x14ac:dyDescent="0.25">
      <c r="A8" s="41" t="s">
        <v>107</v>
      </c>
      <c r="B8" s="39">
        <v>44836</v>
      </c>
      <c r="C8" s="40">
        <v>23357</v>
      </c>
      <c r="D8" s="5"/>
      <c r="E8" s="5"/>
      <c r="F8" s="5"/>
      <c r="G8" s="5"/>
      <c r="H8" s="5"/>
      <c r="I8" s="5"/>
      <c r="J8" s="5"/>
      <c r="K8" s="5"/>
      <c r="P8" s="32"/>
      <c r="Q8" s="33"/>
      <c r="R8" s="33"/>
      <c r="S8" s="34"/>
    </row>
    <row r="9" spans="1:19" ht="17.25" x14ac:dyDescent="0.25">
      <c r="A9" s="41" t="s">
        <v>108</v>
      </c>
      <c r="B9" s="39">
        <v>45158</v>
      </c>
      <c r="C9" s="40">
        <v>21159</v>
      </c>
      <c r="D9" s="5"/>
      <c r="E9" s="5"/>
      <c r="F9" s="5"/>
      <c r="G9" s="5"/>
      <c r="H9" s="5"/>
      <c r="I9" s="36"/>
      <c r="J9" s="35"/>
      <c r="K9" s="35"/>
      <c r="P9" s="32"/>
      <c r="Q9" s="33"/>
      <c r="R9" s="33"/>
      <c r="S9" s="34"/>
    </row>
    <row r="10" spans="1:19" ht="17.25" x14ac:dyDescent="0.25">
      <c r="A10" s="41" t="s">
        <v>109</v>
      </c>
      <c r="B10" s="39">
        <v>44694</v>
      </c>
      <c r="C10" s="40">
        <v>23797</v>
      </c>
      <c r="D10" s="5"/>
      <c r="E10" s="5"/>
      <c r="F10" s="5"/>
      <c r="G10" s="5"/>
      <c r="H10" s="5"/>
      <c r="I10" s="44" t="s">
        <v>120</v>
      </c>
      <c r="J10" s="44">
        <v>343532</v>
      </c>
      <c r="K10" s="35"/>
      <c r="P10" s="32"/>
      <c r="Q10" s="33"/>
      <c r="R10" s="33"/>
      <c r="S10" s="34"/>
    </row>
    <row r="11" spans="1:19" ht="34.5" x14ac:dyDescent="0.25">
      <c r="A11" s="41" t="s">
        <v>110</v>
      </c>
      <c r="B11" s="39">
        <v>45999</v>
      </c>
      <c r="C11" s="40">
        <v>16398</v>
      </c>
      <c r="D11" s="5"/>
      <c r="E11" s="5"/>
      <c r="F11" s="5"/>
      <c r="G11" s="5"/>
      <c r="H11" s="5"/>
      <c r="I11" s="44" t="s">
        <v>121</v>
      </c>
      <c r="J11" s="44">
        <v>18080.63</v>
      </c>
      <c r="K11" s="35"/>
      <c r="P11" s="32"/>
      <c r="Q11" s="33"/>
      <c r="R11" s="33"/>
      <c r="S11" s="34"/>
    </row>
    <row r="12" spans="1:19" ht="17.25" x14ac:dyDescent="0.25">
      <c r="A12" s="41" t="s">
        <v>111</v>
      </c>
      <c r="B12" s="39">
        <v>45460</v>
      </c>
      <c r="C12" s="40">
        <v>22010</v>
      </c>
      <c r="D12" s="5"/>
      <c r="E12" s="5"/>
      <c r="F12" s="5"/>
      <c r="G12" s="5"/>
      <c r="H12" s="5"/>
      <c r="I12" s="44" t="s">
        <v>122</v>
      </c>
      <c r="J12" s="44">
        <v>32000</v>
      </c>
      <c r="K12" s="35"/>
      <c r="P12" s="32"/>
      <c r="Q12" s="33"/>
      <c r="R12" s="33"/>
      <c r="S12" s="34"/>
    </row>
    <row r="13" spans="1:19" ht="17.25" x14ac:dyDescent="0.25">
      <c r="A13" s="41" t="s">
        <v>112</v>
      </c>
      <c r="B13" s="39">
        <v>45269</v>
      </c>
      <c r="C13" s="40">
        <v>22904</v>
      </c>
      <c r="D13" s="5"/>
      <c r="E13" s="5"/>
      <c r="F13" s="5"/>
      <c r="G13" s="5"/>
      <c r="H13" s="5"/>
      <c r="I13" s="44" t="s">
        <v>123</v>
      </c>
      <c r="J13" s="44">
        <v>8000</v>
      </c>
      <c r="K13" s="35"/>
      <c r="P13" s="32"/>
      <c r="Q13" s="33"/>
      <c r="R13" s="33"/>
      <c r="S13" s="34"/>
    </row>
    <row r="14" spans="1:19" ht="17.25" x14ac:dyDescent="0.25">
      <c r="A14" s="41" t="s">
        <v>113</v>
      </c>
      <c r="B14" s="39">
        <v>45971</v>
      </c>
      <c r="C14" s="40">
        <v>16074</v>
      </c>
      <c r="D14" s="5"/>
      <c r="E14" s="5"/>
      <c r="F14" s="5"/>
      <c r="G14" s="5"/>
      <c r="H14" s="5"/>
      <c r="I14" s="36"/>
      <c r="J14" s="35"/>
      <c r="K14" s="35"/>
      <c r="P14" s="32"/>
      <c r="Q14" s="33"/>
      <c r="R14" s="33"/>
      <c r="S14" s="34"/>
    </row>
    <row r="15" spans="1:19" ht="18" thickBot="1" x14ac:dyDescent="0.3">
      <c r="A15" s="41" t="s">
        <v>114</v>
      </c>
      <c r="B15" s="39">
        <v>45441</v>
      </c>
      <c r="C15" s="40">
        <v>11534</v>
      </c>
      <c r="D15" s="5"/>
      <c r="E15" s="5"/>
      <c r="F15" s="5"/>
      <c r="G15" s="5"/>
      <c r="H15" s="5"/>
      <c r="I15" s="36"/>
      <c r="J15" s="35"/>
      <c r="K15" s="35"/>
      <c r="P15" s="32"/>
      <c r="Q15" s="33"/>
      <c r="R15" s="33"/>
      <c r="S15" s="34"/>
    </row>
    <row r="16" spans="1:19" ht="18" thickBot="1" x14ac:dyDescent="0.3">
      <c r="A16" s="41" t="s">
        <v>115</v>
      </c>
      <c r="B16" s="39">
        <v>44273</v>
      </c>
      <c r="C16" s="40">
        <v>18212</v>
      </c>
      <c r="D16" s="5"/>
      <c r="E16" s="5"/>
      <c r="F16" s="5"/>
      <c r="G16" s="5"/>
      <c r="H16" s="5"/>
      <c r="I16" s="36"/>
      <c r="J16" s="35"/>
      <c r="K16" s="35"/>
      <c r="P16" s="28"/>
      <c r="S16" s="28"/>
    </row>
    <row r="17" spans="1:19" ht="18" thickBot="1" x14ac:dyDescent="0.3">
      <c r="A17" s="41" t="s">
        <v>116</v>
      </c>
      <c r="B17" s="39">
        <v>44000</v>
      </c>
      <c r="C17" s="40">
        <v>22132</v>
      </c>
      <c r="D17" s="5"/>
      <c r="E17" s="5"/>
      <c r="F17" s="5"/>
      <c r="G17" s="5"/>
      <c r="H17" s="5"/>
      <c r="I17" s="5"/>
      <c r="J17" s="5"/>
      <c r="K17" s="38"/>
      <c r="P17" s="28"/>
      <c r="S17" s="28"/>
    </row>
    <row r="18" spans="1:19" ht="18" thickBot="1" x14ac:dyDescent="0.3">
      <c r="A18" s="41" t="s">
        <v>117</v>
      </c>
      <c r="B18" s="39">
        <v>45439</v>
      </c>
      <c r="C18" s="40">
        <v>13738</v>
      </c>
      <c r="D18" s="5"/>
      <c r="E18" s="5"/>
      <c r="F18" s="5"/>
      <c r="G18" s="5"/>
      <c r="H18" s="5"/>
      <c r="I18" s="5"/>
      <c r="J18" s="5"/>
      <c r="K18" s="38"/>
      <c r="P18" s="28"/>
      <c r="S18" s="28"/>
    </row>
    <row r="19" spans="1:19" ht="18" thickBot="1" x14ac:dyDescent="0.3">
      <c r="A19" s="41" t="s">
        <v>118</v>
      </c>
      <c r="B19" s="39">
        <v>45080</v>
      </c>
      <c r="C19" s="40">
        <v>16738</v>
      </c>
      <c r="D19" s="5"/>
      <c r="E19" s="5"/>
      <c r="F19" s="5"/>
      <c r="G19" s="5"/>
      <c r="H19" s="5"/>
      <c r="I19" s="5"/>
      <c r="J19" s="5"/>
      <c r="K19" s="38"/>
      <c r="P19" s="28"/>
      <c r="S19" s="28"/>
    </row>
    <row r="20" spans="1:19" ht="18" thickBot="1" x14ac:dyDescent="0.3">
      <c r="A20" s="41" t="s">
        <v>119</v>
      </c>
      <c r="B20" s="39">
        <v>45841</v>
      </c>
      <c r="C20" s="40">
        <v>11787</v>
      </c>
      <c r="D20" s="5"/>
      <c r="E20" s="5"/>
      <c r="F20" s="5"/>
      <c r="G20" s="5"/>
      <c r="H20" s="5"/>
      <c r="I20" s="5"/>
      <c r="J20" s="5"/>
      <c r="K20" s="38"/>
      <c r="P20" s="28"/>
      <c r="S20" s="28"/>
    </row>
    <row r="21" spans="1:19" ht="18" thickBot="1" x14ac:dyDescent="0.3">
      <c r="K21" s="31"/>
      <c r="P21" s="28"/>
      <c r="S21" s="28"/>
    </row>
    <row r="22" spans="1:19" ht="18" thickBot="1" x14ac:dyDescent="0.3">
      <c r="K22" s="25"/>
      <c r="P22" s="28"/>
      <c r="S22" s="28"/>
    </row>
    <row r="23" spans="1:19" ht="18" thickBot="1" x14ac:dyDescent="0.3">
      <c r="K23" s="25"/>
      <c r="P23" s="28"/>
      <c r="S23" s="28"/>
    </row>
    <row r="24" spans="1:19" ht="18" thickBot="1" x14ac:dyDescent="0.3">
      <c r="K24" s="27"/>
      <c r="P24" s="28"/>
      <c r="S24" s="28"/>
    </row>
    <row r="25" spans="1:19" ht="18" thickBot="1" x14ac:dyDescent="0.3">
      <c r="K25" s="27"/>
      <c r="P25" s="28"/>
      <c r="S25" s="28"/>
    </row>
    <row r="26" spans="1:19" ht="18" thickBot="1" x14ac:dyDescent="0.3">
      <c r="K26" s="27"/>
    </row>
  </sheetData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668B-110A-4395-8825-10FB7CFE8852}">
  <dimension ref="A1:W25"/>
  <sheetViews>
    <sheetView tabSelected="1" workbookViewId="0">
      <selection activeCell="N25" sqref="N25"/>
    </sheetView>
  </sheetViews>
  <sheetFormatPr defaultRowHeight="15" x14ac:dyDescent="0.25"/>
  <cols>
    <col min="1" max="1" width="22" bestFit="1" customWidth="1"/>
    <col min="2" max="2" width="14.7109375" bestFit="1" customWidth="1"/>
    <col min="3" max="3" width="9" bestFit="1" customWidth="1"/>
    <col min="11" max="11" width="39.42578125" customWidth="1"/>
    <col min="12" max="12" width="15.140625" customWidth="1"/>
    <col min="14" max="14" width="19.7109375" customWidth="1"/>
  </cols>
  <sheetData>
    <row r="1" spans="1:23" ht="18" thickBot="1" x14ac:dyDescent="0.3">
      <c r="A1" s="24" t="s">
        <v>124</v>
      </c>
      <c r="B1" s="24" t="s">
        <v>2</v>
      </c>
      <c r="C1" s="24" t="s">
        <v>3</v>
      </c>
    </row>
    <row r="2" spans="1:23" ht="18" thickBot="1" x14ac:dyDescent="0.3">
      <c r="A2" s="26" t="s">
        <v>128</v>
      </c>
      <c r="B2" s="26" t="s">
        <v>13</v>
      </c>
      <c r="C2" s="26">
        <v>42000</v>
      </c>
    </row>
    <row r="3" spans="1:23" ht="18" thickBot="1" x14ac:dyDescent="0.3">
      <c r="A3" s="26" t="s">
        <v>130</v>
      </c>
      <c r="B3" s="26" t="s">
        <v>13</v>
      </c>
      <c r="C3" s="26">
        <v>38000</v>
      </c>
    </row>
    <row r="4" spans="1:23" ht="18" thickBot="1" x14ac:dyDescent="0.3">
      <c r="A4" s="25" t="s">
        <v>128</v>
      </c>
      <c r="B4" s="25" t="s">
        <v>13</v>
      </c>
      <c r="C4" s="25">
        <v>44577</v>
      </c>
    </row>
    <row r="5" spans="1:23" ht="18" thickBot="1" x14ac:dyDescent="0.3">
      <c r="A5" s="26" t="s">
        <v>127</v>
      </c>
      <c r="B5" s="26" t="s">
        <v>13</v>
      </c>
      <c r="C5" s="26">
        <v>32607</v>
      </c>
    </row>
    <row r="6" spans="1:23" ht="18" thickBot="1" x14ac:dyDescent="0.3">
      <c r="A6" s="25" t="s">
        <v>125</v>
      </c>
      <c r="B6" s="25" t="s">
        <v>7</v>
      </c>
      <c r="C6" s="25">
        <v>28000</v>
      </c>
    </row>
    <row r="7" spans="1:23" ht="18" thickBot="1" x14ac:dyDescent="0.3">
      <c r="A7" s="25" t="s">
        <v>129</v>
      </c>
      <c r="B7" s="25" t="s">
        <v>7</v>
      </c>
      <c r="C7" s="25">
        <v>30000</v>
      </c>
    </row>
    <row r="8" spans="1:23" ht="18" thickBot="1" x14ac:dyDescent="0.3">
      <c r="A8" s="25" t="s">
        <v>126</v>
      </c>
      <c r="B8" s="25" t="s">
        <v>7</v>
      </c>
      <c r="C8" s="25">
        <v>33390</v>
      </c>
    </row>
    <row r="9" spans="1:23" ht="18" thickBot="1" x14ac:dyDescent="0.3">
      <c r="A9" s="26" t="s">
        <v>126</v>
      </c>
      <c r="B9" s="26" t="s">
        <v>7</v>
      </c>
      <c r="C9" s="26">
        <v>43822</v>
      </c>
      <c r="L9" s="30"/>
      <c r="M9" s="30"/>
      <c r="N9" s="30"/>
      <c r="O9" s="45"/>
      <c r="U9" s="29"/>
      <c r="V9" s="29"/>
      <c r="W9" s="29"/>
    </row>
    <row r="10" spans="1:23" ht="18" thickBot="1" x14ac:dyDescent="0.3">
      <c r="A10" s="25" t="s">
        <v>128</v>
      </c>
      <c r="B10" s="25" t="s">
        <v>7</v>
      </c>
      <c r="C10" s="25">
        <v>34832</v>
      </c>
      <c r="L10" s="30"/>
      <c r="M10" s="30"/>
      <c r="N10" s="30"/>
      <c r="O10" s="45"/>
    </row>
    <row r="11" spans="1:23" ht="18" thickBot="1" x14ac:dyDescent="0.3">
      <c r="A11" s="25" t="s">
        <v>127</v>
      </c>
      <c r="B11" s="25" t="s">
        <v>7</v>
      </c>
      <c r="C11" s="25">
        <v>34279</v>
      </c>
      <c r="K11" s="46"/>
      <c r="L11" s="29"/>
      <c r="M11" s="30"/>
      <c r="N11" s="30"/>
      <c r="O11" s="45"/>
    </row>
    <row r="12" spans="1:23" ht="18" thickBot="1" x14ac:dyDescent="0.3">
      <c r="A12" s="26" t="s">
        <v>125</v>
      </c>
      <c r="B12" s="26" t="s">
        <v>7</v>
      </c>
      <c r="C12" s="26">
        <v>47972</v>
      </c>
      <c r="K12" s="45"/>
      <c r="L12" s="45"/>
      <c r="M12" s="30"/>
      <c r="N12" s="30"/>
      <c r="O12" s="45"/>
    </row>
    <row r="13" spans="1:23" ht="18" thickBot="1" x14ac:dyDescent="0.3">
      <c r="A13" s="26" t="s">
        <v>126</v>
      </c>
      <c r="B13" s="26" t="s">
        <v>10</v>
      </c>
      <c r="C13" s="26">
        <v>45000</v>
      </c>
      <c r="K13" s="30"/>
      <c r="L13" s="55"/>
      <c r="M13" s="45"/>
      <c r="N13" s="30"/>
      <c r="O13" s="45"/>
    </row>
    <row r="14" spans="1:23" ht="18" thickBot="1" x14ac:dyDescent="0.3">
      <c r="A14" s="25" t="s">
        <v>127</v>
      </c>
      <c r="B14" s="25" t="s">
        <v>10</v>
      </c>
      <c r="C14" s="25">
        <v>50000</v>
      </c>
      <c r="K14" s="45"/>
      <c r="L14" s="45"/>
      <c r="M14" s="45"/>
      <c r="N14" s="45"/>
      <c r="O14" s="45"/>
    </row>
    <row r="15" spans="1:23" ht="18" thickBot="1" x14ac:dyDescent="0.3">
      <c r="A15" s="25" t="s">
        <v>127</v>
      </c>
      <c r="B15" s="25" t="s">
        <v>10</v>
      </c>
      <c r="C15" s="25">
        <v>34234</v>
      </c>
      <c r="K15" s="29"/>
      <c r="L15" s="29"/>
      <c r="M15" s="45"/>
      <c r="N15" s="45"/>
      <c r="O15" s="45"/>
    </row>
    <row r="16" spans="1:23" ht="18" thickBot="1" x14ac:dyDescent="0.3">
      <c r="A16" s="26" t="s">
        <v>128</v>
      </c>
      <c r="B16" s="26" t="s">
        <v>10</v>
      </c>
      <c r="C16" s="26">
        <v>47569</v>
      </c>
      <c r="K16" s="45"/>
      <c r="L16" s="45"/>
      <c r="M16" s="45"/>
      <c r="N16" s="45"/>
      <c r="O16" s="45"/>
    </row>
    <row r="17" spans="1:3" ht="18" thickBot="1" x14ac:dyDescent="0.3">
      <c r="A17" s="26" t="s">
        <v>130</v>
      </c>
      <c r="B17" s="26" t="s">
        <v>10</v>
      </c>
      <c r="C17" s="26">
        <v>46491</v>
      </c>
    </row>
    <row r="18" spans="1:3" ht="18" thickBot="1" x14ac:dyDescent="0.3">
      <c r="A18" s="25" t="s">
        <v>128</v>
      </c>
      <c r="B18" s="25" t="s">
        <v>10</v>
      </c>
      <c r="C18" s="25">
        <v>36396</v>
      </c>
    </row>
    <row r="19" spans="1:3" ht="18" thickBot="1" x14ac:dyDescent="0.3">
      <c r="A19" s="26" t="s">
        <v>128</v>
      </c>
      <c r="B19" s="26" t="s">
        <v>10</v>
      </c>
      <c r="C19" s="26">
        <v>40341</v>
      </c>
    </row>
    <row r="20" spans="1:3" ht="18" thickBot="1" x14ac:dyDescent="0.3">
      <c r="A20" s="25" t="s">
        <v>129</v>
      </c>
      <c r="B20" s="25" t="s">
        <v>10</v>
      </c>
      <c r="C20" s="25">
        <v>46096</v>
      </c>
    </row>
    <row r="21" spans="1:3" ht="17.25" x14ac:dyDescent="0.25">
      <c r="A21" s="47" t="s">
        <v>131</v>
      </c>
      <c r="B21" s="48">
        <v>755606</v>
      </c>
      <c r="C21" s="49"/>
    </row>
    <row r="22" spans="1:3" ht="17.25" x14ac:dyDescent="0.25">
      <c r="A22" s="50" t="s">
        <v>132</v>
      </c>
      <c r="B22" s="51">
        <v>346127</v>
      </c>
      <c r="C22" s="52"/>
    </row>
    <row r="23" spans="1:3" ht="17.25" x14ac:dyDescent="0.25">
      <c r="A23" s="47" t="s">
        <v>133</v>
      </c>
      <c r="B23" s="53">
        <v>204323</v>
      </c>
      <c r="C23" s="54"/>
    </row>
    <row r="24" spans="1:3" ht="17.25" x14ac:dyDescent="0.25">
      <c r="A24" s="50" t="s">
        <v>134</v>
      </c>
      <c r="B24" s="51">
        <v>39768.736842105303</v>
      </c>
      <c r="C24" s="52"/>
    </row>
    <row r="25" spans="1:3" ht="17.25" x14ac:dyDescent="0.25">
      <c r="A25" s="47" t="s">
        <v>135</v>
      </c>
      <c r="B25" s="53">
        <v>19</v>
      </c>
      <c r="C25" s="54"/>
    </row>
  </sheetData>
  <sortState xmlns:xlrd2="http://schemas.microsoft.com/office/spreadsheetml/2017/richdata2" ref="A2:C20">
    <sortCondition ref="B2:B20"/>
  </sortState>
  <mergeCells count="5">
    <mergeCell ref="B23:C23"/>
    <mergeCell ref="B24:C24"/>
    <mergeCell ref="B25:C25"/>
    <mergeCell ref="B21:C21"/>
    <mergeCell ref="B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ASDC6</dc:creator>
  <cp:lastModifiedBy>ASDC6</cp:lastModifiedBy>
  <dcterms:created xsi:type="dcterms:W3CDTF">2026-01-24T14:22:41Z</dcterms:created>
  <dcterms:modified xsi:type="dcterms:W3CDTF">2026-01-25T07:11:52Z</dcterms:modified>
</cp:coreProperties>
</file>
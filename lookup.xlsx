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hub\"/>
    </mc:Choice>
  </mc:AlternateContent>
  <xr:revisionPtr revIDLastSave="0" documentId="8_{10BDEC0E-A124-42E7-A2FC-73BAB2E9C7B5}" xr6:coauthVersionLast="47" xr6:coauthVersionMax="47" xr10:uidLastSave="{00000000-0000-0000-0000-000000000000}"/>
  <bookViews>
    <workbookView xWindow="-108" yWindow="-108" windowWidth="23256" windowHeight="12456" activeTab="3" xr2:uid="{6B597895-9812-4400-A3A7-A7192072044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4" l="1"/>
  <c r="M8" i="4"/>
  <c r="M5" i="4"/>
  <c r="I8" i="4"/>
  <c r="I5" i="4"/>
  <c r="Q11" i="3"/>
  <c r="R11" i="3" s="1"/>
  <c r="P11" i="3"/>
  <c r="L11" i="3"/>
  <c r="L14" i="3"/>
  <c r="L8" i="3"/>
  <c r="L7" i="3"/>
  <c r="L15" i="2"/>
  <c r="L11" i="2"/>
  <c r="L5" i="2"/>
  <c r="L8" i="2"/>
  <c r="L2" i="2"/>
  <c r="G15" i="1"/>
  <c r="G16" i="1"/>
  <c r="G17" i="1"/>
  <c r="G18" i="1"/>
  <c r="G19" i="1"/>
  <c r="G20" i="1"/>
  <c r="G21" i="1"/>
  <c r="F15" i="1"/>
  <c r="F16" i="1"/>
  <c r="F17" i="1"/>
  <c r="F18" i="1"/>
  <c r="F19" i="1"/>
  <c r="F20" i="1"/>
  <c r="F21" i="1"/>
  <c r="G14" i="1"/>
  <c r="F14" i="1"/>
</calcChain>
</file>

<file path=xl/sharedStrings.xml><?xml version="1.0" encoding="utf-8"?>
<sst xmlns="http://schemas.openxmlformats.org/spreadsheetml/2006/main" count="225" uniqueCount="46">
  <si>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</si>
  <si>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</si>
  <si>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</si>
  <si>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</si>
  <si>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</si>
  <si>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</si>
  <si>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</si>
  <si>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</si>
  <si>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</si>
  <si>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</si>
  <si>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</si>
  <si>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</si>
  <si>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</si>
  <si>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</si>
  <si>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</si>
  <si>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</si>
  <si>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</si>
  <si>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</si>
  <si>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</si>
  <si>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</si>
  <si>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</si>
  <si>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</si>
  <si>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</si>
  <si>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</si>
  <si>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</si>
  <si>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</si>
  <si>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</si>
  <si>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</si>
  <si>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</si>
  <si>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</si>
  <si>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</si>
  <si>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</si>
  <si>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</si>
  <si>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Rahul</t>
  </si>
  <si>
    <t>Joining year</t>
  </si>
  <si>
    <t>Employee ID</t>
  </si>
  <si>
    <t>Neha singh</t>
  </si>
  <si>
    <t>E109</t>
  </si>
  <si>
    <t>Bonus %</t>
  </si>
  <si>
    <t>Dep</t>
  </si>
  <si>
    <t>Bonus</t>
  </si>
  <si>
    <t>Emloyee ID</t>
  </si>
  <si>
    <t>Bonus Amount</t>
  </si>
  <si>
    <t>Bonus Data</t>
  </si>
  <si>
    <t>Peon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</si>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</sst>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D1D9E0"/>
      </right>
      <top style="medium">
        <color indexed="64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indexed="64"/>
      </top>
      <bottom style="medium">
        <color rgb="FFD1D9E0"/>
      </bottom>
      <diagonal/>
    </border>
    <border>
      <left style="medium">
        <color rgb="FFD1D9E0"/>
      </left>
      <right style="medium">
        <color indexed="64"/>
      </right>
      <top style="medium">
        <color indexed="64"/>
      </top>
      <bottom style="medium">
        <color rgb="FFD1D9E0"/>
      </bottom>
      <diagonal/>
    </border>
    <border>
      <left style="medium">
        <color indexed="64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indexed="64"/>
      </right>
      <top style="medium">
        <color rgb="FFD1D9E0"/>
      </top>
      <bottom style="medium">
        <color rgb="FFD1D9E0"/>
      </bottom>
      <diagonal/>
    </border>
    <border>
      <left style="medium">
        <color indexed="64"/>
      </left>
      <right style="medium">
        <color rgb="FFD1D9E0"/>
      </right>
      <top style="medium">
        <color rgb="FFD1D9E0"/>
      </top>
      <bottom style="medium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indexed="64"/>
      </bottom>
      <diagonal/>
    </border>
    <border>
      <left style="medium">
        <color rgb="FFD1D9E0"/>
      </left>
      <right style="medium">
        <color indexed="64"/>
      </right>
      <top style="medium">
        <color rgb="FFD1D9E0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6" borderId="2" xfId="0" applyFill="1" applyBorder="1"/>
    <xf numFmtId="0" fontId="0" fillId="7" borderId="2" xfId="0" applyFill="1" applyBorder="1"/>
    <xf numFmtId="10" fontId="0" fillId="7" borderId="2" xfId="0" applyNumberFormat="1" applyFill="1" applyBorder="1"/>
    <xf numFmtId="0" fontId="2" fillId="3" borderId="1" xfId="0" applyFont="1" applyFill="1" applyBorder="1" applyAlignment="1">
      <alignment horizontal="righ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4" borderId="2" xfId="0" applyFill="1" applyBorder="1"/>
    <xf numFmtId="0" fontId="2" fillId="2" borderId="3" xfId="0" applyFont="1" applyFill="1" applyBorder="1" applyAlignment="1">
      <alignment horizontal="righ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 wrapText="1" indent="1"/>
    </xf>
    <xf numFmtId="0" fontId="2" fillId="2" borderId="5" xfId="0" applyFont="1" applyFill="1" applyBorder="1" applyAlignment="1">
      <alignment horizontal="right" vertical="center" wrapText="1" indent="1"/>
    </xf>
    <xf numFmtId="0" fontId="2" fillId="2" borderId="6" xfId="0" applyFont="1" applyFill="1" applyBorder="1" applyAlignment="1">
      <alignment horizontal="right" vertical="center" wrapText="1" indent="1"/>
    </xf>
    <xf numFmtId="0" fontId="2" fillId="2" borderId="7" xfId="0" applyFont="1" applyFill="1" applyBorder="1" applyAlignment="1">
      <alignment horizontal="right" vertical="center" wrapText="1" indent="1"/>
    </xf>
    <xf numFmtId="0" fontId="2" fillId="3" borderId="6" xfId="0" applyFont="1" applyFill="1" applyBorder="1" applyAlignment="1">
      <alignment horizontal="right" vertical="center" wrapText="1" indent="1"/>
    </xf>
    <xf numFmtId="0" fontId="2" fillId="3" borderId="7" xfId="0" applyFont="1" applyFill="1" applyBorder="1" applyAlignment="1">
      <alignment horizontal="right" vertical="center" wrapText="1" indent="1"/>
    </xf>
    <xf numFmtId="0" fontId="2" fillId="3" borderId="8" xfId="0" applyFont="1" applyFill="1" applyBorder="1" applyAlignment="1">
      <alignment horizontal="right" vertical="center" wrapText="1" indent="1"/>
    </xf>
    <xf numFmtId="0" fontId="2" fillId="3" borderId="9" xfId="0" applyFont="1" applyFill="1" applyBorder="1" applyAlignment="1">
      <alignment horizontal="left" vertical="center" wrapText="1" indent="1"/>
    </xf>
    <xf numFmtId="0" fontId="2" fillId="3" borderId="9" xfId="0" applyFont="1" applyFill="1" applyBorder="1" applyAlignment="1">
      <alignment horizontal="right" vertical="center" wrapText="1" indent="1"/>
    </xf>
    <xf numFmtId="0" fontId="2" fillId="3" borderId="10" xfId="0" applyFont="1" applyFill="1" applyBorder="1" applyAlignment="1">
      <alignment horizontal="righ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9" fontId="2" fillId="2" borderId="9" xfId="0" applyNumberFormat="1" applyFont="1" applyFill="1" applyBorder="1" applyAlignment="1">
      <alignment horizontal="center" vertical="center" wrapText="1"/>
    </xf>
    <xf numFmtId="9" fontId="2" fillId="2" borderId="10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0" borderId="2" xfId="0" applyBorder="1"/>
    <xf numFmtId="1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2CA1-685C-4085-BE17-F09C6576F660}">
  <dimension ref="A1:H21"/>
  <sheetViews>
    <sheetView workbookViewId="0">
      <selection activeCell="K15" sqref="K15"/>
    </sheetView>
  </sheetViews>
  <sheetFormatPr defaultRowHeight="14.4" x14ac:dyDescent="0.3"/>
  <cols>
    <col min="1" max="1" width="20.88671875" customWidth="1"/>
    <col min="2" max="2" width="17.109375" customWidth="1"/>
    <col min="4" max="4" width="13.33203125" customWidth="1"/>
    <col min="5" max="5" width="17" customWidth="1"/>
    <col min="7" max="7" width="13.109375" customWidth="1"/>
  </cols>
  <sheetData>
    <row r="1" spans="1:8" ht="39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8" ht="19.8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</row>
    <row r="3" spans="1:8" ht="19.8" thickBot="1" x14ac:dyDescent="0.35">
      <c r="A3" s="5" t="s">
        <v>10</v>
      </c>
      <c r="B3" s="6" t="s">
        <v>11</v>
      </c>
      <c r="C3" s="6" t="s">
        <v>12</v>
      </c>
      <c r="D3" s="6" t="s">
        <v>13</v>
      </c>
      <c r="E3" s="5">
        <v>52000</v>
      </c>
      <c r="F3" s="5">
        <v>2018</v>
      </c>
    </row>
    <row r="4" spans="1:8" ht="19.8" thickBot="1" x14ac:dyDescent="0.35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</row>
    <row r="5" spans="1:8" ht="39" thickBot="1" x14ac:dyDescent="0.35">
      <c r="A5" s="5" t="s">
        <v>18</v>
      </c>
      <c r="B5" s="6" t="s">
        <v>19</v>
      </c>
      <c r="C5" s="6" t="s">
        <v>20</v>
      </c>
      <c r="D5" s="6" t="s">
        <v>21</v>
      </c>
      <c r="E5" s="5">
        <v>58000</v>
      </c>
      <c r="F5" s="5">
        <v>2017</v>
      </c>
    </row>
    <row r="6" spans="1:8" ht="39" thickBot="1" x14ac:dyDescent="0.35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</row>
    <row r="7" spans="1:8" ht="19.8" thickBot="1" x14ac:dyDescent="0.35">
      <c r="A7" s="5" t="s">
        <v>25</v>
      </c>
      <c r="B7" s="6" t="s">
        <v>26</v>
      </c>
      <c r="C7" s="6" t="s">
        <v>16</v>
      </c>
      <c r="D7" s="6" t="s">
        <v>27</v>
      </c>
      <c r="E7" s="5">
        <v>62000</v>
      </c>
      <c r="F7" s="5">
        <v>2019</v>
      </c>
    </row>
    <row r="8" spans="1:8" ht="19.8" thickBot="1" x14ac:dyDescent="0.35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</row>
    <row r="9" spans="1:8" ht="19.8" thickBot="1" x14ac:dyDescent="0.35">
      <c r="A9" s="5" t="s">
        <v>31</v>
      </c>
      <c r="B9" s="6" t="s">
        <v>32</v>
      </c>
      <c r="C9" s="6" t="s">
        <v>12</v>
      </c>
      <c r="D9" s="6" t="s">
        <v>17</v>
      </c>
      <c r="E9" s="5">
        <v>54000</v>
      </c>
      <c r="F9" s="5">
        <v>2016</v>
      </c>
    </row>
    <row r="13" spans="1:8" x14ac:dyDescent="0.3">
      <c r="D13" t="s">
        <v>3</v>
      </c>
      <c r="E13" t="s">
        <v>1</v>
      </c>
      <c r="F13" t="s">
        <v>4</v>
      </c>
      <c r="G13" t="s">
        <v>34</v>
      </c>
      <c r="H13" t="s">
        <v>3</v>
      </c>
    </row>
    <row r="14" spans="1:8" ht="15" thickBot="1" x14ac:dyDescent="0.35">
      <c r="E14" t="s">
        <v>33</v>
      </c>
      <c r="F14">
        <f>VLOOKUP(A2,A2:F9,5,FALSE)</f>
        <v>45000</v>
      </c>
      <c r="G14">
        <f t="shared" ref="G14:G21" si="0">VLOOKUP(B2,B2:G9,5,FALSE)</f>
        <v>2019</v>
      </c>
    </row>
    <row r="15" spans="1:8" ht="19.8" thickBot="1" x14ac:dyDescent="0.35">
      <c r="E15" s="6" t="s">
        <v>11</v>
      </c>
      <c r="F15">
        <f t="shared" ref="F15:F21" si="1">VLOOKUP(A3,A3:F10,5,FALSE)</f>
        <v>52000</v>
      </c>
      <c r="G15">
        <f t="shared" si="0"/>
        <v>2018</v>
      </c>
    </row>
    <row r="16" spans="1:8" ht="19.8" thickBot="1" x14ac:dyDescent="0.35">
      <c r="E16" s="4" t="s">
        <v>15</v>
      </c>
      <c r="F16">
        <f t="shared" si="1"/>
        <v>65000</v>
      </c>
      <c r="G16">
        <f t="shared" si="0"/>
        <v>2020</v>
      </c>
    </row>
    <row r="17" spans="5:7" ht="19.8" thickBot="1" x14ac:dyDescent="0.35">
      <c r="E17" s="6" t="s">
        <v>19</v>
      </c>
      <c r="F17">
        <f t="shared" si="1"/>
        <v>58000</v>
      </c>
      <c r="G17">
        <f t="shared" si="0"/>
        <v>2017</v>
      </c>
    </row>
    <row r="18" spans="5:7" ht="19.8" thickBot="1" x14ac:dyDescent="0.35">
      <c r="E18" s="4" t="s">
        <v>23</v>
      </c>
      <c r="F18">
        <f t="shared" si="1"/>
        <v>48000</v>
      </c>
      <c r="G18">
        <f t="shared" si="0"/>
        <v>2021</v>
      </c>
    </row>
    <row r="19" spans="5:7" ht="19.8" thickBot="1" x14ac:dyDescent="0.35">
      <c r="E19" s="6" t="s">
        <v>26</v>
      </c>
      <c r="F19">
        <f t="shared" si="1"/>
        <v>62000</v>
      </c>
      <c r="G19">
        <f t="shared" si="0"/>
        <v>2019</v>
      </c>
    </row>
    <row r="20" spans="5:7" ht="19.8" thickBot="1" x14ac:dyDescent="0.35">
      <c r="E20" s="4" t="s">
        <v>29</v>
      </c>
      <c r="F20">
        <f t="shared" si="1"/>
        <v>47000</v>
      </c>
      <c r="G20">
        <f t="shared" si="0"/>
        <v>2020</v>
      </c>
    </row>
    <row r="21" spans="5:7" ht="19.8" thickBot="1" x14ac:dyDescent="0.35">
      <c r="E21" s="6" t="s">
        <v>32</v>
      </c>
      <c r="F21">
        <f t="shared" si="1"/>
        <v>54000</v>
      </c>
      <c r="G21">
        <f t="shared" si="0"/>
        <v>2016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053A-8F1A-4369-BF1D-ADC648856E4E}">
  <dimension ref="A1:L15"/>
  <sheetViews>
    <sheetView workbookViewId="0">
      <selection activeCell="C23" sqref="C23"/>
    </sheetView>
  </sheetViews>
  <sheetFormatPr defaultRowHeight="14.4" x14ac:dyDescent="0.3"/>
  <cols>
    <col min="1" max="1" width="12.5546875" customWidth="1"/>
    <col min="2" max="2" width="18.33203125" customWidth="1"/>
    <col min="3" max="3" width="13.5546875" customWidth="1"/>
    <col min="4" max="4" width="15.5546875" customWidth="1"/>
    <col min="11" max="11" width="13.6640625" customWidth="1"/>
    <col min="12" max="12" width="14.88671875" customWidth="1"/>
    <col min="13" max="13" width="18.44140625" customWidth="1"/>
    <col min="14" max="14" width="20.5546875" customWidth="1"/>
    <col min="15" max="15" width="27" customWidth="1"/>
    <col min="16" max="16" width="28.33203125" customWidth="1"/>
  </cols>
  <sheetData>
    <row r="1" spans="1:12" ht="39" thickBot="1" x14ac:dyDescent="0.35">
      <c r="A1" s="26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7" t="s">
        <v>5</v>
      </c>
      <c r="K1" s="31" t="s">
        <v>35</v>
      </c>
      <c r="L1" s="31" t="s">
        <v>1</v>
      </c>
    </row>
    <row r="2" spans="1:12" ht="19.8" thickBot="1" x14ac:dyDescent="0.35">
      <c r="A2" s="34" t="s">
        <v>6</v>
      </c>
      <c r="B2" s="35" t="s">
        <v>7</v>
      </c>
      <c r="C2" s="35" t="s">
        <v>8</v>
      </c>
      <c r="D2" s="35" t="s">
        <v>9</v>
      </c>
      <c r="E2" s="35">
        <v>45000</v>
      </c>
      <c r="F2" s="36">
        <v>2019</v>
      </c>
      <c r="K2" s="32" t="s">
        <v>6</v>
      </c>
      <c r="L2" s="32" t="str">
        <f>VLOOKUP(K2,A2:F9,2,FALSE)</f>
        <v>Rahul Sharma</v>
      </c>
    </row>
    <row r="3" spans="1:12" ht="19.8" thickBot="1" x14ac:dyDescent="0.35">
      <c r="A3" s="37" t="s">
        <v>10</v>
      </c>
      <c r="B3" s="38" t="s">
        <v>11</v>
      </c>
      <c r="C3" s="38" t="s">
        <v>12</v>
      </c>
      <c r="D3" s="38" t="s">
        <v>13</v>
      </c>
      <c r="E3" s="38">
        <v>52000</v>
      </c>
      <c r="F3" s="39">
        <v>2018</v>
      </c>
    </row>
    <row r="4" spans="1:12" ht="19.8" thickBot="1" x14ac:dyDescent="0.35">
      <c r="A4" s="34" t="s">
        <v>14</v>
      </c>
      <c r="B4" s="35" t="s">
        <v>15</v>
      </c>
      <c r="C4" s="35" t="s">
        <v>16</v>
      </c>
      <c r="D4" s="35" t="s">
        <v>17</v>
      </c>
      <c r="E4" s="35">
        <v>65000</v>
      </c>
      <c r="F4" s="36">
        <v>2020</v>
      </c>
      <c r="K4" s="8" t="s">
        <v>35</v>
      </c>
      <c r="L4" s="8" t="s">
        <v>2</v>
      </c>
    </row>
    <row r="5" spans="1:12" ht="19.8" thickBot="1" x14ac:dyDescent="0.35">
      <c r="A5" s="37" t="s">
        <v>18</v>
      </c>
      <c r="B5" s="38" t="s">
        <v>19</v>
      </c>
      <c r="C5" s="38" t="s">
        <v>20</v>
      </c>
      <c r="D5" s="38" t="s">
        <v>21</v>
      </c>
      <c r="E5" s="38">
        <v>58000</v>
      </c>
      <c r="F5" s="39">
        <v>2017</v>
      </c>
      <c r="K5" s="33" t="s">
        <v>14</v>
      </c>
      <c r="L5" s="33" t="str">
        <f>VLOOKUP(K5,A2:F9,3,FALSE)</f>
        <v>IT</v>
      </c>
    </row>
    <row r="6" spans="1:12" ht="19.8" thickBot="1" x14ac:dyDescent="0.35">
      <c r="A6" s="34" t="s">
        <v>22</v>
      </c>
      <c r="B6" s="35" t="s">
        <v>23</v>
      </c>
      <c r="C6" s="35" t="s">
        <v>24</v>
      </c>
      <c r="D6" s="35" t="s">
        <v>9</v>
      </c>
      <c r="E6" s="35">
        <v>48000</v>
      </c>
      <c r="F6" s="36">
        <v>2021</v>
      </c>
    </row>
    <row r="7" spans="1:12" ht="19.8" thickBot="1" x14ac:dyDescent="0.35">
      <c r="A7" s="37" t="s">
        <v>25</v>
      </c>
      <c r="B7" s="38" t="s">
        <v>26</v>
      </c>
      <c r="C7" s="38" t="s">
        <v>16</v>
      </c>
      <c r="D7" s="38" t="s">
        <v>27</v>
      </c>
      <c r="E7" s="38">
        <v>62000</v>
      </c>
      <c r="F7" s="39">
        <v>2019</v>
      </c>
      <c r="K7" s="8" t="s">
        <v>1</v>
      </c>
      <c r="L7" s="8" t="s">
        <v>4</v>
      </c>
    </row>
    <row r="8" spans="1:12" ht="19.8" thickBot="1" x14ac:dyDescent="0.35">
      <c r="A8" s="34" t="s">
        <v>28</v>
      </c>
      <c r="B8" s="35" t="s">
        <v>29</v>
      </c>
      <c r="C8" s="35" t="s">
        <v>8</v>
      </c>
      <c r="D8" s="35" t="s">
        <v>30</v>
      </c>
      <c r="E8" s="35">
        <v>47000</v>
      </c>
      <c r="F8" s="36">
        <v>2020</v>
      </c>
      <c r="K8" s="9" t="s">
        <v>36</v>
      </c>
      <c r="L8" s="9">
        <f>VLOOKUP(K8,B2:F9,4,FALSE)</f>
        <v>58000</v>
      </c>
    </row>
    <row r="9" spans="1:12" ht="19.8" thickBot="1" x14ac:dyDescent="0.35">
      <c r="A9" s="40" t="s">
        <v>31</v>
      </c>
      <c r="B9" s="41" t="s">
        <v>32</v>
      </c>
      <c r="C9" s="41" t="s">
        <v>12</v>
      </c>
      <c r="D9" s="41" t="s">
        <v>17</v>
      </c>
      <c r="E9" s="41">
        <v>54000</v>
      </c>
      <c r="F9" s="42">
        <v>2016</v>
      </c>
    </row>
    <row r="10" spans="1:12" x14ac:dyDescent="0.3">
      <c r="K10" s="8" t="s">
        <v>35</v>
      </c>
      <c r="L10" s="8" t="s">
        <v>3</v>
      </c>
    </row>
    <row r="11" spans="1:12" x14ac:dyDescent="0.3">
      <c r="K11" s="33" t="s">
        <v>28</v>
      </c>
      <c r="L11" s="33" t="str">
        <f>VLOOKUP(K11,A2:F9,4,FALSE)</f>
        <v>Hyderabad</v>
      </c>
    </row>
    <row r="14" spans="1:12" x14ac:dyDescent="0.3">
      <c r="K14" s="8" t="s">
        <v>35</v>
      </c>
      <c r="L14" s="8" t="s">
        <v>1</v>
      </c>
    </row>
    <row r="15" spans="1:12" x14ac:dyDescent="0.3">
      <c r="K15" s="9" t="s">
        <v>37</v>
      </c>
      <c r="L15" s="9" t="str">
        <f>IFERROR(VLOOKUP(K15,A2:F9,2,FALSE),"Not Found")</f>
        <v>Not Found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3C050-17B4-434C-B42D-E5B085FCCE31}">
  <dimension ref="A1:R16"/>
  <sheetViews>
    <sheetView zoomScale="68" workbookViewId="0">
      <selection sqref="A1:F2"/>
    </sheetView>
  </sheetViews>
  <sheetFormatPr defaultRowHeight="14.4" x14ac:dyDescent="0.3"/>
  <cols>
    <col min="1" max="1" width="8.5546875" bestFit="1" customWidth="1"/>
    <col min="2" max="2" width="18.21875" customWidth="1"/>
    <col min="3" max="3" width="14.88671875" customWidth="1"/>
    <col min="4" max="4" width="16" customWidth="1"/>
    <col min="5" max="5" width="14.88671875" customWidth="1"/>
    <col min="6" max="6" width="19.109375" customWidth="1"/>
    <col min="11" max="11" width="13.5546875" customWidth="1"/>
    <col min="12" max="12" width="13.77734375" customWidth="1"/>
    <col min="15" max="15" width="17.21875" customWidth="1"/>
    <col min="16" max="16" width="11.44140625" customWidth="1"/>
    <col min="18" max="18" width="15.109375" customWidth="1"/>
  </cols>
  <sheetData>
    <row r="1" spans="1:18" ht="39" thickBot="1" x14ac:dyDescent="0.35">
      <c r="A1" s="26" t="s">
        <v>2</v>
      </c>
      <c r="B1" s="15" t="s">
        <v>8</v>
      </c>
      <c r="C1" s="15" t="s">
        <v>12</v>
      </c>
      <c r="D1" s="15" t="s">
        <v>16</v>
      </c>
      <c r="E1" s="15" t="s">
        <v>20</v>
      </c>
      <c r="F1" s="27" t="s">
        <v>24</v>
      </c>
    </row>
    <row r="2" spans="1:18" ht="39" thickBot="1" x14ac:dyDescent="0.35">
      <c r="A2" s="28" t="s">
        <v>38</v>
      </c>
      <c r="B2" s="29">
        <v>0.1</v>
      </c>
      <c r="C2" s="29">
        <v>0.08</v>
      </c>
      <c r="D2" s="29">
        <v>0.12</v>
      </c>
      <c r="E2" s="29">
        <v>0.15</v>
      </c>
      <c r="F2" s="30">
        <v>0.09</v>
      </c>
    </row>
    <row r="5" spans="1:18" x14ac:dyDescent="0.3">
      <c r="B5" t="s">
        <v>39</v>
      </c>
    </row>
    <row r="6" spans="1:18" x14ac:dyDescent="0.3">
      <c r="K6" s="8" t="s">
        <v>2</v>
      </c>
      <c r="L6" s="8" t="s">
        <v>40</v>
      </c>
    </row>
    <row r="7" spans="1:18" ht="15" thickBot="1" x14ac:dyDescent="0.35">
      <c r="K7" s="9" t="s">
        <v>16</v>
      </c>
      <c r="L7" s="10">
        <f>HLOOKUP(K7,A1:F2,2,FALSE)</f>
        <v>0.12</v>
      </c>
    </row>
    <row r="8" spans="1:18" ht="39" thickBot="1" x14ac:dyDescent="0.35">
      <c r="A8" s="14" t="s">
        <v>0</v>
      </c>
      <c r="B8" s="15" t="s">
        <v>1</v>
      </c>
      <c r="C8" s="15" t="s">
        <v>2</v>
      </c>
      <c r="D8" s="15" t="s">
        <v>3</v>
      </c>
      <c r="E8" s="16" t="s">
        <v>4</v>
      </c>
      <c r="F8" s="17" t="s">
        <v>5</v>
      </c>
      <c r="K8" s="9" t="s">
        <v>20</v>
      </c>
      <c r="L8" s="10">
        <f>HLOOKUP(K8,A1:F2,2,FALSE)</f>
        <v>0.15</v>
      </c>
    </row>
    <row r="9" spans="1:18" ht="58.2" thickBot="1" x14ac:dyDescent="0.35">
      <c r="A9" s="18" t="s">
        <v>6</v>
      </c>
      <c r="B9" s="7" t="s">
        <v>7</v>
      </c>
      <c r="C9" s="7" t="s">
        <v>8</v>
      </c>
      <c r="D9" s="7" t="s">
        <v>9</v>
      </c>
      <c r="E9" s="1">
        <v>45000</v>
      </c>
      <c r="F9" s="19">
        <v>2019</v>
      </c>
    </row>
    <row r="10" spans="1:18" ht="58.2" thickBot="1" x14ac:dyDescent="0.35">
      <c r="A10" s="20" t="s">
        <v>10</v>
      </c>
      <c r="B10" s="12" t="s">
        <v>11</v>
      </c>
      <c r="C10" s="12" t="s">
        <v>12</v>
      </c>
      <c r="D10" s="12" t="s">
        <v>13</v>
      </c>
      <c r="E10" s="11">
        <v>52000</v>
      </c>
      <c r="F10" s="21">
        <v>2018</v>
      </c>
      <c r="K10" s="8" t="s">
        <v>41</v>
      </c>
      <c r="L10" s="8" t="s">
        <v>42</v>
      </c>
      <c r="O10" s="13" t="s">
        <v>35</v>
      </c>
      <c r="P10" s="13" t="s">
        <v>2</v>
      </c>
      <c r="Q10" s="13" t="s">
        <v>45</v>
      </c>
      <c r="R10" s="13" t="s">
        <v>42</v>
      </c>
    </row>
    <row r="11" spans="1:18" ht="39" thickBot="1" x14ac:dyDescent="0.35">
      <c r="A11" s="18" t="s">
        <v>14</v>
      </c>
      <c r="B11" s="7" t="s">
        <v>15</v>
      </c>
      <c r="C11" s="7" t="s">
        <v>16</v>
      </c>
      <c r="D11" s="7" t="s">
        <v>17</v>
      </c>
      <c r="E11" s="1">
        <v>65000</v>
      </c>
      <c r="F11" s="19">
        <v>2020</v>
      </c>
      <c r="K11" s="9" t="s">
        <v>18</v>
      </c>
      <c r="L11" s="9">
        <f>E12*HLOOKUP(E1,B1:F2,2,FALSE)</f>
        <v>8700</v>
      </c>
      <c r="O11" s="9" t="s">
        <v>18</v>
      </c>
      <c r="P11" s="9" t="str">
        <f>VLOOKUP(O11,A9:F16,3,FALSE)</f>
        <v>Finance</v>
      </c>
      <c r="Q11" s="9">
        <f>VLOOKUP(O11,A9:F16,5,FALSE)</f>
        <v>58000</v>
      </c>
      <c r="R11" s="9">
        <f>Q11*HLOOKUP(P11,A1:F2,2,FALSE)</f>
        <v>8700</v>
      </c>
    </row>
    <row r="12" spans="1:18" ht="39" thickBot="1" x14ac:dyDescent="0.35">
      <c r="A12" s="20" t="s">
        <v>18</v>
      </c>
      <c r="B12" s="12" t="s">
        <v>19</v>
      </c>
      <c r="C12" s="12" t="s">
        <v>20</v>
      </c>
      <c r="D12" s="12" t="s">
        <v>21</v>
      </c>
      <c r="E12" s="11">
        <v>58000</v>
      </c>
      <c r="F12" s="21">
        <v>2017</v>
      </c>
    </row>
    <row r="13" spans="1:18" ht="39" thickBot="1" x14ac:dyDescent="0.35">
      <c r="A13" s="18" t="s">
        <v>22</v>
      </c>
      <c r="B13" s="7" t="s">
        <v>23</v>
      </c>
      <c r="C13" s="7" t="s">
        <v>24</v>
      </c>
      <c r="D13" s="7" t="s">
        <v>9</v>
      </c>
      <c r="E13" s="1">
        <v>48000</v>
      </c>
      <c r="F13" s="19">
        <v>2021</v>
      </c>
      <c r="K13" s="8" t="s">
        <v>2</v>
      </c>
      <c r="L13" s="8" t="s">
        <v>43</v>
      </c>
    </row>
    <row r="14" spans="1:18" ht="39" thickBot="1" x14ac:dyDescent="0.35">
      <c r="A14" s="20" t="s">
        <v>25</v>
      </c>
      <c r="B14" s="12" t="s">
        <v>26</v>
      </c>
      <c r="C14" s="12" t="s">
        <v>16</v>
      </c>
      <c r="D14" s="12" t="s">
        <v>27</v>
      </c>
      <c r="E14" s="11">
        <v>62000</v>
      </c>
      <c r="F14" s="21">
        <v>2019</v>
      </c>
      <c r="K14" s="9" t="s">
        <v>44</v>
      </c>
      <c r="L14" s="9" t="str">
        <f>IFERROR(HLOOKUP(K14,A1:F2,2,FALSE),"No Bonus Data")</f>
        <v>No Bonus Data</v>
      </c>
    </row>
    <row r="15" spans="1:18" ht="39" thickBot="1" x14ac:dyDescent="0.35">
      <c r="A15" s="18" t="s">
        <v>28</v>
      </c>
      <c r="B15" s="7" t="s">
        <v>29</v>
      </c>
      <c r="C15" s="7" t="s">
        <v>8</v>
      </c>
      <c r="D15" s="7" t="s">
        <v>30</v>
      </c>
      <c r="E15" s="1">
        <v>47000</v>
      </c>
      <c r="F15" s="19">
        <v>2020</v>
      </c>
    </row>
    <row r="16" spans="1:18" ht="39" thickBot="1" x14ac:dyDescent="0.35">
      <c r="A16" s="22" t="s">
        <v>31</v>
      </c>
      <c r="B16" s="23" t="s">
        <v>32</v>
      </c>
      <c r="C16" s="23" t="s">
        <v>12</v>
      </c>
      <c r="D16" s="23" t="s">
        <v>17</v>
      </c>
      <c r="E16" s="24">
        <v>54000</v>
      </c>
      <c r="F16" s="25">
        <v>2016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B7D5-DCCB-4197-8934-0211E3E6FF3B}">
  <dimension ref="A1:M11"/>
  <sheetViews>
    <sheetView tabSelected="1" workbookViewId="0">
      <selection activeCell="F12" sqref="F12"/>
    </sheetView>
  </sheetViews>
  <sheetFormatPr defaultRowHeight="14.4" x14ac:dyDescent="0.3"/>
  <cols>
    <col min="2" max="2" width="17.5546875" customWidth="1"/>
    <col min="3" max="3" width="13.88671875" customWidth="1"/>
    <col min="4" max="4" width="15.109375" customWidth="1"/>
    <col min="6" max="6" width="14" customWidth="1"/>
    <col min="8" max="8" width="12.5546875" customWidth="1"/>
    <col min="9" max="9" width="10.77734375" bestFit="1" customWidth="1"/>
    <col min="12" max="12" width="11.109375" bestFit="1" customWidth="1"/>
    <col min="13" max="13" width="18.21875" bestFit="1" customWidth="1"/>
  </cols>
  <sheetData>
    <row r="1" spans="1:13" ht="38.4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8"/>
      <c r="H1" s="43" t="s">
        <v>2</v>
      </c>
      <c r="I1" s="43" t="s">
        <v>8</v>
      </c>
      <c r="J1" s="43" t="s">
        <v>12</v>
      </c>
      <c r="K1" s="43" t="s">
        <v>16</v>
      </c>
      <c r="L1" s="43" t="s">
        <v>20</v>
      </c>
      <c r="M1" s="43" t="s">
        <v>24</v>
      </c>
    </row>
    <row r="2" spans="1:13" ht="19.2" x14ac:dyDescent="0.3">
      <c r="A2" s="43" t="s">
        <v>6</v>
      </c>
      <c r="B2" s="43" t="s">
        <v>7</v>
      </c>
      <c r="C2" s="43" t="s">
        <v>8</v>
      </c>
      <c r="D2" s="43" t="s">
        <v>9</v>
      </c>
      <c r="E2" s="43">
        <v>45000</v>
      </c>
      <c r="F2" s="43">
        <v>2019</v>
      </c>
      <c r="G2" s="48"/>
      <c r="H2" s="43" t="s">
        <v>38</v>
      </c>
      <c r="I2" s="44">
        <v>0.1</v>
      </c>
      <c r="J2" s="44">
        <v>0.08</v>
      </c>
      <c r="K2" s="44">
        <v>0.12</v>
      </c>
      <c r="L2" s="44">
        <v>0.15</v>
      </c>
      <c r="M2" s="44">
        <v>0.09</v>
      </c>
    </row>
    <row r="3" spans="1:13" ht="19.2" x14ac:dyDescent="0.3">
      <c r="A3" s="49" t="s">
        <v>10</v>
      </c>
      <c r="B3" s="49" t="s">
        <v>11</v>
      </c>
      <c r="C3" s="49" t="s">
        <v>12</v>
      </c>
      <c r="D3" s="49" t="s">
        <v>13</v>
      </c>
      <c r="E3" s="49">
        <v>52000</v>
      </c>
      <c r="F3" s="49">
        <v>2018</v>
      </c>
      <c r="G3" s="48"/>
      <c r="H3" s="48"/>
      <c r="I3" s="48"/>
      <c r="J3" s="48"/>
      <c r="K3" s="48"/>
      <c r="L3" s="48"/>
      <c r="M3" s="48"/>
    </row>
    <row r="4" spans="1:13" ht="19.2" x14ac:dyDescent="0.3">
      <c r="A4" s="43" t="s">
        <v>14</v>
      </c>
      <c r="B4" s="43" t="s">
        <v>15</v>
      </c>
      <c r="C4" s="43" t="s">
        <v>16</v>
      </c>
      <c r="D4" s="43" t="s">
        <v>17</v>
      </c>
      <c r="E4" s="43">
        <v>65000</v>
      </c>
      <c r="F4" s="43">
        <v>2020</v>
      </c>
      <c r="G4" s="48"/>
      <c r="H4" s="45" t="s">
        <v>35</v>
      </c>
      <c r="I4" s="45" t="s">
        <v>45</v>
      </c>
      <c r="J4" s="48"/>
      <c r="K4" s="48"/>
      <c r="L4" s="45" t="s">
        <v>1</v>
      </c>
      <c r="M4" s="45" t="s">
        <v>3</v>
      </c>
    </row>
    <row r="5" spans="1:13" ht="19.2" x14ac:dyDescent="0.3">
      <c r="A5" s="49" t="s">
        <v>18</v>
      </c>
      <c r="B5" s="49" t="s">
        <v>19</v>
      </c>
      <c r="C5" s="49" t="s">
        <v>20</v>
      </c>
      <c r="D5" s="49" t="s">
        <v>21</v>
      </c>
      <c r="E5" s="49">
        <v>58000</v>
      </c>
      <c r="F5" s="49">
        <v>2017</v>
      </c>
      <c r="G5" s="48"/>
      <c r="H5" s="50" t="s">
        <v>6</v>
      </c>
      <c r="I5" s="50">
        <f>_xlfn.XLOOKUP(H5,A2:A9,E2:E9)</f>
        <v>45000</v>
      </c>
      <c r="J5" s="48"/>
      <c r="K5" s="48"/>
      <c r="L5" s="50" t="s">
        <v>15</v>
      </c>
      <c r="M5" s="50" t="str">
        <f>_xlfn.XLOOKUP(L5,B2:B9,D2:D9)</f>
        <v>Bangalore</v>
      </c>
    </row>
    <row r="6" spans="1:13" ht="19.2" x14ac:dyDescent="0.3">
      <c r="A6" s="43" t="s">
        <v>22</v>
      </c>
      <c r="B6" s="43" t="s">
        <v>23</v>
      </c>
      <c r="C6" s="43" t="s">
        <v>24</v>
      </c>
      <c r="D6" s="43" t="s">
        <v>9</v>
      </c>
      <c r="E6" s="43">
        <v>48000</v>
      </c>
      <c r="F6" s="43">
        <v>2021</v>
      </c>
      <c r="G6" s="48"/>
      <c r="H6" s="48"/>
      <c r="I6" s="48"/>
      <c r="J6" s="48"/>
      <c r="K6" s="48"/>
      <c r="L6" s="48"/>
      <c r="M6" s="48"/>
    </row>
    <row r="7" spans="1:13" ht="19.2" x14ac:dyDescent="0.3">
      <c r="A7" s="49" t="s">
        <v>25</v>
      </c>
      <c r="B7" s="49" t="s">
        <v>26</v>
      </c>
      <c r="C7" s="49" t="s">
        <v>16</v>
      </c>
      <c r="D7" s="49" t="s">
        <v>27</v>
      </c>
      <c r="E7" s="49">
        <v>62000</v>
      </c>
      <c r="F7" s="49">
        <v>2019</v>
      </c>
      <c r="G7" s="48"/>
      <c r="H7" s="45" t="s">
        <v>1</v>
      </c>
      <c r="I7" s="45" t="s">
        <v>2</v>
      </c>
      <c r="J7" s="48"/>
      <c r="K7" s="48"/>
      <c r="L7" s="46" t="s">
        <v>35</v>
      </c>
      <c r="M7" s="46" t="s">
        <v>1</v>
      </c>
    </row>
    <row r="8" spans="1:13" ht="19.2" x14ac:dyDescent="0.3">
      <c r="A8" s="43" t="s">
        <v>28</v>
      </c>
      <c r="B8" s="43" t="s">
        <v>29</v>
      </c>
      <c r="C8" s="43" t="s">
        <v>8</v>
      </c>
      <c r="D8" s="43" t="s">
        <v>30</v>
      </c>
      <c r="E8" s="43">
        <v>47000</v>
      </c>
      <c r="F8" s="43">
        <v>2020</v>
      </c>
      <c r="G8" s="48"/>
      <c r="H8" s="50" t="s">
        <v>29</v>
      </c>
      <c r="I8" s="50" t="str">
        <f>_xlfn.XLOOKUP(H8,B2:B9,C2:C9)</f>
        <v>Sales</v>
      </c>
      <c r="J8" s="48"/>
      <c r="K8" s="48"/>
      <c r="L8" s="47" t="s">
        <v>10</v>
      </c>
      <c r="M8" s="47" t="str">
        <f>IFERROR(_xlfn.XLOOKUP(L8,A2:A9,B2:B9),"Employee Not Found")</f>
        <v>Ananya Gupta</v>
      </c>
    </row>
    <row r="9" spans="1:13" ht="19.2" x14ac:dyDescent="0.3">
      <c r="A9" s="49" t="s">
        <v>31</v>
      </c>
      <c r="B9" s="49" t="s">
        <v>32</v>
      </c>
      <c r="C9" s="49" t="s">
        <v>12</v>
      </c>
      <c r="D9" s="49" t="s">
        <v>17</v>
      </c>
      <c r="E9" s="49">
        <v>54000</v>
      </c>
      <c r="F9" s="49">
        <v>2016</v>
      </c>
      <c r="G9" s="48"/>
      <c r="H9" s="48"/>
      <c r="I9" s="48"/>
      <c r="J9" s="48"/>
      <c r="K9" s="48"/>
      <c r="L9" s="48"/>
      <c r="M9" s="48"/>
    </row>
    <row r="10" spans="1:13" x14ac:dyDescent="0.3">
      <c r="H10" s="8" t="s">
        <v>2</v>
      </c>
      <c r="I10" s="8" t="s">
        <v>38</v>
      </c>
    </row>
    <row r="11" spans="1:13" x14ac:dyDescent="0.3">
      <c r="H11" s="51" t="s">
        <v>8</v>
      </c>
      <c r="I11" s="52">
        <f>_xlfn.XLOOKUP(H11,I1:M1,I2:M2)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ASDC26</dc:creator>
  <cp:lastModifiedBy>vishwakarma ravindra</cp:lastModifiedBy>
  <dcterms:created xsi:type="dcterms:W3CDTF">2026-02-01T04:49:54Z</dcterms:created>
  <dcterms:modified xsi:type="dcterms:W3CDTF">2026-02-04T12:37:10Z</dcterms:modified>
</cp:coreProperties>
</file>
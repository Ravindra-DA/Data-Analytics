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hub(home)\Data-analytics task\"/>
    </mc:Choice>
  </mc:AlternateContent>
  <xr:revisionPtr revIDLastSave="0" documentId="8_{7F9F06CB-A500-47F7-A300-157EF7BA13E6}" xr6:coauthVersionLast="47" xr6:coauthVersionMax="47" xr10:uidLastSave="{00000000-0000-0000-0000-000000000000}"/>
  <bookViews>
    <workbookView xWindow="-108" yWindow="-108" windowWidth="23256" windowHeight="12456" activeTab="9" xr2:uid="{D8079503-01B3-4B9F-BE5E-072F6BC9476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D12" i="2"/>
  <c r="D13" i="2"/>
  <c r="D14" i="2"/>
  <c r="D15" i="2"/>
  <c r="D16" i="2"/>
  <c r="D11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<sst xmlns="http://schemas.openxmlformats.org/spreadsheetml/2006/main" count="420" uniqueCount="184">
  <si>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</si>
  <si>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</si>
  <si>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</si>
  <si>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</si>
  <si>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</si>
  <si>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</si>
  <si>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</si>
  <si>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</si>
  <si>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</si>
  <si>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</si>
  <si>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</si>
  <si>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</si>
  <si>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</si>
  <si>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</si>
  <si>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</si>
  <si>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</si>
  <si>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</si>
  <si>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</si>
  <si>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</si>
  <si>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</si>
  <si>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Prithvi Chauhaan</t>
  </si>
  <si>
    <t>Marketing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</si>
  <si>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</si>
  <si>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</si>
  <si>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</si>
  <si>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</si>
  <si>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</si>
  <si>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</si>
  <si>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</si>
  <si>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</si>
  <si>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</si>
  <si>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</si>
  <si>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</si>
  <si>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</si>
  <si>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</si>
  <si>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Jha tushar</t>
  </si>
  <si>
    <t>Ghanchi hitesh</t>
  </si>
  <si>
    <t>sales</t>
  </si>
  <si>
    <t>jay kadiya</t>
  </si>
  <si>
    <t>jyoti patel</t>
  </si>
  <si>
    <t>jiya patel</t>
  </si>
  <si>
    <t>om singh</t>
  </si>
  <si>
    <t>siani sagar</t>
  </si>
  <si>
    <t>Rajput poonam</t>
  </si>
  <si>
    <t>Rajput janvi</t>
  </si>
  <si>
    <t>Dube Arvind</t>
  </si>
  <si>
    <t>Chuahan dipika</t>
  </si>
  <si>
    <t>Gurjar Komal</t>
  </si>
  <si>
    <t>Tiwari jaya</t>
  </si>
  <si>
    <t>Manager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</si>
  <si>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</si>
  <si>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</si>
  <si>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</si>
  <si>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</si>
  <si>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</si>
  <si>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</si>
  <si>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</si>
  <si>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</si>
  <si>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</si>
  <si>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</si>
  <si>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</si>
  <si>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</si>
  <si>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</si>
  <si>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</si>
  <si>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</si>
  <si>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</si>
  <si>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Samsung Galaxy s25 </t>
  </si>
  <si>
    <t>Samsung galaxy s24</t>
  </si>
  <si>
    <t>Samsung galaxy s23</t>
  </si>
  <si>
    <t>Samsung galaxy s22</t>
  </si>
  <si>
    <t>Samsung galaxy s25 ultra</t>
  </si>
  <si>
    <t>Samsung galaxy s24 ultra</t>
  </si>
  <si>
    <t>Samsung galaxy s23 ultra</t>
  </si>
  <si>
    <t>Samsung galaxy s22 ultra</t>
  </si>
  <si>
    <t>Iphone 15</t>
  </si>
  <si>
    <t>iphone 16</t>
  </si>
  <si>
    <t>iphone 17</t>
  </si>
  <si>
    <t>iphone 16 pro max</t>
  </si>
  <si>
    <t xml:space="preserve"> iphone 15 pro max</t>
  </si>
  <si>
    <t>iphone 17 pro max</t>
  </si>
  <si>
    <t>iphone 13 pro max</t>
  </si>
  <si>
    <r>
      <t xml:space="preserve">                                     </t>
    </r>
    <r>
      <rPr>
        <b/>
        <sz val="16"/>
        <color theme="1"/>
        <rFont val="Calibri"/>
        <family val="2"/>
        <scheme val="minor"/>
      </rPr>
      <t>Monthly Sales Report</t>
    </r>
    <r>
      <rPr>
        <b/>
        <sz val="11"/>
        <color theme="1"/>
        <rFont val="Calibri"/>
        <family val="2"/>
        <scheme val="minor"/>
      </rPr>
      <t xml:space="preserve">       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</si>
  <si>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</si>
  <si>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</si>
  <si>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</si>
  <si>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</si>
  <si>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</si>
  <si>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</si>
  <si>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</si>
  <si>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</si>
  <si>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</si>
  <si>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</si>
  <si>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</si>
  <si>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aakash</t>
  </si>
  <si>
    <t>chirag</t>
  </si>
  <si>
    <t>esha</t>
  </si>
  <si>
    <t>divya</t>
  </si>
  <si>
    <t>bhavya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</si>
  <si>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</si>
  <si>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</si>
  <si>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</si>
  <si>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</si>
  <si>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</si>
  <si>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</si>
  <si>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</si>
  <si>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</si>
  <si>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</si>
  <si>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</si>
  <si>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</si>
  <si>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</si>
  <si>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</si>
  <si>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</si>
  <si>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</si>
  <si>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</si>
  <si>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</si>
  <si>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</si>
  <si>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</si>
  <si>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</si>
  <si>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</si>
  <si>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</si>
  <si>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Total Sales</t>
  </si>
  <si>
    <t>Average Sales</t>
  </si>
  <si>
    <t>Highest Sales</t>
  </si>
  <si>
    <t>Lowest Sales</t>
  </si>
  <si>
    <t>Employee Name</t>
  </si>
  <si>
    <t>Suresh</t>
  </si>
  <si>
    <t>Meena</t>
  </si>
  <si>
    <t>Karan</t>
  </si>
  <si>
    <t>Ritu</t>
  </si>
  <si>
    <t>Aman</t>
  </si>
  <si>
    <t>Neel</t>
  </si>
  <si>
    <t>Total sales</t>
  </si>
  <si>
    <t xml:space="preserve">IT Department </t>
  </si>
  <si>
    <t>HR Department</t>
  </si>
  <si>
    <t>Average salary</t>
  </si>
  <si>
    <t>Count employees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</si>
  <si>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</si>
  <si>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</si>
  <si>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</si>
  <si>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</si>
  <si>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</si>
  <si>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</si>
  <si>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</si>
  <si>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</si>
  <si>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</si>
  <si>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</si>
  <si>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</si>
  <si>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</si>
  <si>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</si>
  <si>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</si>
  <si>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</si>
  <si>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</si>
  <si>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</si>
  <si>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</si>
  <si>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</si>
  <si>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</si>
  <si>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</si>
  <si>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</si>
  <si>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</si>
  <si>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</si>
  <si>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</si>
  <si>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</si>
  <si>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</si>
  <si>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</si>
  <si>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</si>
  <si>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Count sales above 10000</t>
  </si>
  <si>
    <t>Count sales above 5000</t>
  </si>
  <si>
    <t>Product</t>
  </si>
  <si>
    <t>Mobile</t>
  </si>
  <si>
    <t>Headphones</t>
  </si>
  <si>
    <t>Laptop</t>
  </si>
  <si>
    <t>Keyboard</t>
  </si>
  <si>
    <t>Tablet</t>
  </si>
  <si>
    <t>Headphone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</si>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</sst>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F800]dddd\,\ mmmm\ dd\,\ yyyy"/>
    <numFmt numFmtId="166" formatCode="&quot;₹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Segoe UI"/>
      <family val="2"/>
    </font>
    <font>
      <sz val="14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69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5" fillId="5" borderId="2" xfId="0" applyFont="1" applyFill="1" applyBorder="1"/>
    <xf numFmtId="165" fontId="5" fillId="5" borderId="2" xfId="0" applyNumberFormat="1" applyFont="1" applyFill="1" applyBorder="1"/>
    <xf numFmtId="166" fontId="5" fillId="5" borderId="2" xfId="0" applyNumberFormat="1" applyFont="1" applyFill="1" applyBorder="1"/>
    <xf numFmtId="0" fontId="7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2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6" fontId="6" fillId="7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10" fontId="0" fillId="0" borderId="2" xfId="0" applyNumberForma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6" fontId="2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left" vertical="center" wrapText="1" indent="1"/>
    </xf>
    <xf numFmtId="166" fontId="2" fillId="2" borderId="0" xfId="0" applyNumberFormat="1" applyFont="1" applyFill="1" applyAlignment="1">
      <alignment horizontal="center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165" fontId="2" fillId="2" borderId="2" xfId="0" applyNumberFormat="1" applyFont="1" applyFill="1" applyBorder="1" applyAlignment="1">
      <alignment horizontal="left" vertical="center" wrapText="1" indent="1"/>
    </xf>
    <xf numFmtId="166" fontId="2" fillId="2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165" fontId="2" fillId="3" borderId="2" xfId="0" applyNumberFormat="1" applyFont="1" applyFill="1" applyBorder="1" applyAlignment="1">
      <alignment horizontal="left" vertical="center" wrapText="1" indent="1"/>
    </xf>
    <xf numFmtId="166" fontId="2" fillId="3" borderId="2" xfId="0" applyNumberFormat="1" applyFont="1" applyFill="1" applyBorder="1" applyAlignment="1">
      <alignment horizontal="left" vertical="center" wrapText="1" indent="1"/>
    </xf>
    <xf numFmtId="166" fontId="11" fillId="10" borderId="0" xfId="0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1" fillId="3" borderId="8" xfId="0" applyFont="1" applyFill="1" applyBorder="1" applyAlignment="1">
      <alignment horizontal="left" vertical="center" wrapText="1" indent="1"/>
    </xf>
    <xf numFmtId="0" fontId="11" fillId="2" borderId="8" xfId="0" applyFont="1" applyFill="1" applyBorder="1" applyAlignment="1">
      <alignment horizontal="left" vertical="center" wrapText="1" indent="1"/>
    </xf>
    <xf numFmtId="0" fontId="0" fillId="0" borderId="6" xfId="0" applyBorder="1"/>
    <xf numFmtId="0" fontId="1" fillId="8" borderId="3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left" vertical="center" wrapText="1" indent="1"/>
    </xf>
    <xf numFmtId="0" fontId="12" fillId="9" borderId="12" xfId="0" applyFont="1" applyFill="1" applyBorder="1" applyAlignment="1">
      <alignment horizontal="left" vertical="center" wrapText="1" indent="1"/>
    </xf>
    <xf numFmtId="0" fontId="1" fillId="0" borderId="0" xfId="0" applyFont="1"/>
    <xf numFmtId="0" fontId="0" fillId="0" borderId="0" xfId="0" applyAlignment="1"/>
    <xf numFmtId="0" fontId="1" fillId="11" borderId="2" xfId="0" applyFont="1" applyFill="1" applyBorder="1"/>
    <xf numFmtId="0" fontId="0" fillId="11" borderId="2" xfId="0" applyFill="1" applyBorder="1"/>
    <xf numFmtId="0" fontId="14" fillId="11" borderId="2" xfId="0" applyFont="1" applyFill="1" applyBorder="1"/>
    <xf numFmtId="0" fontId="14" fillId="11" borderId="2" xfId="0" applyFont="1" applyFill="1" applyBorder="1" applyAlignment="1">
      <alignment horizontal="center"/>
    </xf>
    <xf numFmtId="0" fontId="13" fillId="11" borderId="11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left" vertical="center" wrapText="1" indent="1"/>
    </xf>
    <xf numFmtId="0" fontId="15" fillId="0" borderId="0" xfId="0" applyFont="1"/>
    <xf numFmtId="0" fontId="16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 wrapText="1" indent="1"/>
    </xf>
    <xf numFmtId="0" fontId="17" fillId="9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2FA9-B17D-4899-AD10-E99D05E23357}">
  <dimension ref="A1:K20"/>
  <sheetViews>
    <sheetView workbookViewId="0">
      <selection activeCell="K6" sqref="K6"/>
    </sheetView>
  </sheetViews>
  <sheetFormatPr defaultRowHeight="14.4" x14ac:dyDescent="0.3"/>
  <cols>
    <col min="1" max="1" width="15.33203125" bestFit="1" customWidth="1"/>
    <col min="2" max="2" width="20.33203125" bestFit="1" customWidth="1"/>
    <col min="3" max="3" width="14.6640625" bestFit="1" customWidth="1"/>
    <col min="4" max="4" width="20" bestFit="1" customWidth="1"/>
    <col min="5" max="5" width="23" style="7" bestFit="1" customWidth="1"/>
  </cols>
  <sheetData>
    <row r="1" spans="1:11" ht="18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11" ht="18" x14ac:dyDescent="0.35">
      <c r="A2" s="8" t="s">
        <v>5</v>
      </c>
      <c r="B2" s="8" t="s">
        <v>6</v>
      </c>
      <c r="C2" s="8" t="s">
        <v>7</v>
      </c>
      <c r="D2" s="10">
        <v>32000</v>
      </c>
      <c r="E2" s="9">
        <v>44896</v>
      </c>
    </row>
    <row r="3" spans="1:11" ht="18" x14ac:dyDescent="0.35">
      <c r="A3" s="8" t="s">
        <v>8</v>
      </c>
      <c r="B3" s="8" t="s">
        <v>9</v>
      </c>
      <c r="C3" s="8" t="s">
        <v>10</v>
      </c>
      <c r="D3" s="10">
        <v>45000</v>
      </c>
      <c r="E3" s="9">
        <v>44897</v>
      </c>
    </row>
    <row r="4" spans="1:11" ht="18" x14ac:dyDescent="0.35">
      <c r="A4" s="8" t="s">
        <v>11</v>
      </c>
      <c r="B4" s="8" t="s">
        <v>12</v>
      </c>
      <c r="C4" s="8" t="s">
        <v>13</v>
      </c>
      <c r="D4" s="10">
        <v>38000</v>
      </c>
      <c r="E4" s="9">
        <v>44898</v>
      </c>
    </row>
    <row r="5" spans="1:11" ht="18" x14ac:dyDescent="0.35">
      <c r="A5" s="8" t="s">
        <v>14</v>
      </c>
      <c r="B5" s="8" t="s">
        <v>15</v>
      </c>
      <c r="C5" s="8" t="s">
        <v>10</v>
      </c>
      <c r="D5" s="10">
        <v>52000</v>
      </c>
      <c r="E5" s="9">
        <v>43749</v>
      </c>
    </row>
    <row r="6" spans="1:11" ht="18" x14ac:dyDescent="0.35">
      <c r="A6" s="8" t="s">
        <v>16</v>
      </c>
      <c r="B6" s="8" t="s">
        <v>17</v>
      </c>
      <c r="C6" s="8" t="s">
        <v>18</v>
      </c>
      <c r="D6" s="10">
        <v>30000</v>
      </c>
      <c r="E6" s="9">
        <v>43750</v>
      </c>
    </row>
    <row r="7" spans="1:11" ht="18" x14ac:dyDescent="0.35">
      <c r="A7" s="8" t="s">
        <v>19</v>
      </c>
      <c r="B7" s="8" t="s">
        <v>20</v>
      </c>
      <c r="C7" s="8" t="s">
        <v>21</v>
      </c>
      <c r="D7" s="10">
        <v>50000</v>
      </c>
      <c r="E7" s="9">
        <v>46154</v>
      </c>
    </row>
    <row r="8" spans="1:11" ht="18" x14ac:dyDescent="0.35">
      <c r="A8" s="8" t="s">
        <v>22</v>
      </c>
      <c r="B8" s="8" t="s">
        <v>35</v>
      </c>
      <c r="C8" s="8" t="s">
        <v>7</v>
      </c>
      <c r="D8" s="10">
        <v>60000</v>
      </c>
      <c r="E8" s="9">
        <v>46155</v>
      </c>
    </row>
    <row r="9" spans="1:11" ht="18" x14ac:dyDescent="0.35">
      <c r="A9" s="8" t="s">
        <v>23</v>
      </c>
      <c r="B9" s="8" t="s">
        <v>36</v>
      </c>
      <c r="C9" s="8" t="s">
        <v>37</v>
      </c>
      <c r="D9" s="10">
        <v>25000</v>
      </c>
      <c r="E9" s="9">
        <v>43779</v>
      </c>
      <c r="K9" s="1"/>
    </row>
    <row r="10" spans="1:11" ht="18" x14ac:dyDescent="0.35">
      <c r="A10" s="8" t="s">
        <v>24</v>
      </c>
      <c r="B10" s="8" t="s">
        <v>38</v>
      </c>
      <c r="C10" s="8" t="s">
        <v>7</v>
      </c>
      <c r="D10" s="10">
        <v>30000</v>
      </c>
      <c r="E10" s="9">
        <v>43780</v>
      </c>
    </row>
    <row r="11" spans="1:11" ht="18" x14ac:dyDescent="0.35">
      <c r="A11" s="8" t="s">
        <v>25</v>
      </c>
      <c r="B11" s="8" t="s">
        <v>39</v>
      </c>
      <c r="C11" s="8" t="s">
        <v>21</v>
      </c>
      <c r="D11" s="10">
        <v>35000</v>
      </c>
      <c r="E11" s="9">
        <v>46154</v>
      </c>
    </row>
    <row r="12" spans="1:11" ht="18" x14ac:dyDescent="0.35">
      <c r="A12" s="8" t="s">
        <v>26</v>
      </c>
      <c r="B12" s="8" t="s">
        <v>40</v>
      </c>
      <c r="C12" s="8" t="s">
        <v>18</v>
      </c>
      <c r="D12" s="10">
        <v>40000</v>
      </c>
      <c r="E12" s="9">
        <v>46155</v>
      </c>
    </row>
    <row r="13" spans="1:11" ht="18" x14ac:dyDescent="0.35">
      <c r="A13" s="8" t="s">
        <v>27</v>
      </c>
      <c r="B13" s="8" t="s">
        <v>41</v>
      </c>
      <c r="C13" s="8" t="s">
        <v>10</v>
      </c>
      <c r="D13" s="10">
        <v>30000</v>
      </c>
      <c r="E13" s="9">
        <v>46154</v>
      </c>
    </row>
    <row r="14" spans="1:11" ht="18" x14ac:dyDescent="0.35">
      <c r="A14" s="8" t="s">
        <v>28</v>
      </c>
      <c r="B14" s="8" t="s">
        <v>42</v>
      </c>
      <c r="C14" s="8" t="s">
        <v>7</v>
      </c>
      <c r="D14" s="10">
        <v>38000</v>
      </c>
      <c r="E14" s="9">
        <v>43324</v>
      </c>
    </row>
    <row r="15" spans="1:11" ht="18" x14ac:dyDescent="0.35">
      <c r="A15" s="8" t="s">
        <v>29</v>
      </c>
      <c r="B15" s="8" t="s">
        <v>43</v>
      </c>
      <c r="C15" s="8" t="s">
        <v>13</v>
      </c>
      <c r="D15" s="10">
        <v>45000</v>
      </c>
      <c r="E15" s="9">
        <v>46154</v>
      </c>
    </row>
    <row r="16" spans="1:11" ht="18" x14ac:dyDescent="0.35">
      <c r="A16" s="8" t="s">
        <v>30</v>
      </c>
      <c r="B16" s="8" t="s">
        <v>44</v>
      </c>
      <c r="C16" s="8" t="s">
        <v>10</v>
      </c>
      <c r="D16" s="10">
        <v>28500</v>
      </c>
      <c r="E16" s="9">
        <v>45942</v>
      </c>
    </row>
    <row r="17" spans="1:5" ht="18" x14ac:dyDescent="0.35">
      <c r="A17" s="8" t="s">
        <v>31</v>
      </c>
      <c r="B17" s="8" t="s">
        <v>45</v>
      </c>
      <c r="C17" s="8" t="s">
        <v>21</v>
      </c>
      <c r="D17" s="10">
        <v>34600</v>
      </c>
      <c r="E17" s="9">
        <v>45943</v>
      </c>
    </row>
    <row r="18" spans="1:5" ht="18" x14ac:dyDescent="0.35">
      <c r="A18" s="8" t="s">
        <v>32</v>
      </c>
      <c r="B18" s="8" t="s">
        <v>46</v>
      </c>
      <c r="C18" s="8" t="s">
        <v>7</v>
      </c>
      <c r="D18" s="10">
        <v>55000</v>
      </c>
      <c r="E18" s="9">
        <v>45973</v>
      </c>
    </row>
    <row r="19" spans="1:5" ht="18" x14ac:dyDescent="0.35">
      <c r="A19" s="8" t="s">
        <v>33</v>
      </c>
      <c r="B19" s="8" t="s">
        <v>47</v>
      </c>
      <c r="C19" s="8" t="s">
        <v>21</v>
      </c>
      <c r="D19" s="10">
        <v>35000</v>
      </c>
      <c r="E19" s="9">
        <v>46004</v>
      </c>
    </row>
    <row r="20" spans="1:5" ht="18" x14ac:dyDescent="0.35">
      <c r="A20" s="8" t="s">
        <v>34</v>
      </c>
      <c r="B20" s="8" t="s">
        <v>48</v>
      </c>
      <c r="C20" s="8" t="s">
        <v>49</v>
      </c>
      <c r="D20" s="10">
        <v>100000</v>
      </c>
      <c r="E20" s="9">
        <v>45313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54F-31E5-422D-9BAD-34D752C35064}">
  <dimension ref="A1:D22"/>
  <sheetViews>
    <sheetView workbookViewId="0">
      <selection activeCell="R7" sqref="R7"/>
    </sheetView>
  </sheetViews>
  <sheetFormatPr defaultRowHeight="14.4" x14ac:dyDescent="0.3"/>
  <cols>
    <col min="1" max="1" width="29.5546875" bestFit="1" customWidth="1"/>
    <col min="3" max="3" width="13.6640625" bestFit="1" customWidth="1"/>
    <col min="4" max="4" width="15" bestFit="1" customWidth="1"/>
  </cols>
  <sheetData>
    <row r="1" spans="1:4" ht="36" customHeight="1" x14ac:dyDescent="0.3">
      <c r="A1" s="46" t="s">
        <v>81</v>
      </c>
      <c r="B1" s="46"/>
      <c r="C1" s="46"/>
      <c r="D1" s="46"/>
    </row>
    <row r="2" spans="1:4" ht="38.4" x14ac:dyDescent="0.3">
      <c r="A2" s="11" t="s">
        <v>50</v>
      </c>
      <c r="B2" s="11" t="s">
        <v>51</v>
      </c>
      <c r="C2" s="11" t="s">
        <v>52</v>
      </c>
      <c r="D2" s="11" t="s">
        <v>53</v>
      </c>
    </row>
    <row r="3" spans="1:4" ht="42" customHeight="1" x14ac:dyDescent="0.3">
      <c r="A3" s="13" t="s">
        <v>54</v>
      </c>
      <c r="B3" s="13" t="s">
        <v>55</v>
      </c>
      <c r="C3" s="14">
        <v>45000</v>
      </c>
      <c r="D3" s="13" t="s">
        <v>56</v>
      </c>
    </row>
    <row r="4" spans="1:4" ht="19.5" customHeight="1" x14ac:dyDescent="0.3">
      <c r="A4" s="13" t="s">
        <v>57</v>
      </c>
      <c r="B4" s="13" t="s">
        <v>58</v>
      </c>
      <c r="C4" s="14">
        <v>1200</v>
      </c>
      <c r="D4" s="13" t="s">
        <v>59</v>
      </c>
    </row>
    <row r="5" spans="1:4" ht="17.25" customHeight="1" x14ac:dyDescent="0.3">
      <c r="A5" s="13" t="s">
        <v>60</v>
      </c>
      <c r="B5" s="13" t="s">
        <v>61</v>
      </c>
      <c r="C5" s="14">
        <v>18000</v>
      </c>
      <c r="D5" s="13" t="s">
        <v>62</v>
      </c>
    </row>
    <row r="6" spans="1:4" ht="36.75" customHeight="1" x14ac:dyDescent="0.3">
      <c r="A6" s="13" t="s">
        <v>63</v>
      </c>
      <c r="B6" s="13" t="s">
        <v>64</v>
      </c>
      <c r="C6" s="14">
        <v>62000</v>
      </c>
      <c r="D6" s="13" t="s">
        <v>65</v>
      </c>
    </row>
    <row r="7" spans="1:4" ht="19.2" x14ac:dyDescent="0.35">
      <c r="A7" s="15" t="s">
        <v>66</v>
      </c>
      <c r="B7" s="16" t="s">
        <v>55</v>
      </c>
      <c r="C7" s="17">
        <v>70000</v>
      </c>
      <c r="D7" s="13" t="s">
        <v>65</v>
      </c>
    </row>
    <row r="8" spans="1:4" ht="19.2" x14ac:dyDescent="0.35">
      <c r="A8" s="15" t="s">
        <v>67</v>
      </c>
      <c r="B8" s="16" t="s">
        <v>58</v>
      </c>
      <c r="C8" s="17">
        <v>65000</v>
      </c>
      <c r="D8" s="13" t="s">
        <v>56</v>
      </c>
    </row>
    <row r="9" spans="1:4" ht="19.2" x14ac:dyDescent="0.35">
      <c r="A9" s="15" t="s">
        <v>68</v>
      </c>
      <c r="B9" s="16" t="s">
        <v>61</v>
      </c>
      <c r="C9" s="17">
        <v>60000</v>
      </c>
      <c r="D9" s="13" t="s">
        <v>59</v>
      </c>
    </row>
    <row r="10" spans="1:4" ht="19.2" x14ac:dyDescent="0.35">
      <c r="A10" s="15" t="s">
        <v>69</v>
      </c>
      <c r="B10" s="16" t="s">
        <v>64</v>
      </c>
      <c r="C10" s="17">
        <v>50000</v>
      </c>
      <c r="D10" s="13" t="s">
        <v>62</v>
      </c>
    </row>
    <row r="11" spans="1:4" ht="18" x14ac:dyDescent="0.35">
      <c r="A11" s="15" t="s">
        <v>70</v>
      </c>
      <c r="B11" s="16" t="s">
        <v>55</v>
      </c>
      <c r="C11" s="17">
        <v>130000</v>
      </c>
      <c r="D11" s="16" t="str">
        <f ca="1">CHOOSE(RANDBETWEEN(1,4),"Ramesh","Sneha","Arjun","Kavita")</f>
        <v>Sneha</v>
      </c>
    </row>
    <row r="12" spans="1:4" ht="18" x14ac:dyDescent="0.35">
      <c r="A12" s="15" t="s">
        <v>71</v>
      </c>
      <c r="B12" s="16" t="s">
        <v>58</v>
      </c>
      <c r="C12" s="17">
        <v>120000</v>
      </c>
      <c r="D12" s="16" t="str">
        <f t="shared" ref="D12:D21" ca="1" si="0">CHOOSE(RANDBETWEEN(1,4),"Ramesh","Sneha","Arjun","Kavita")</f>
        <v>Sneha</v>
      </c>
    </row>
    <row r="13" spans="1:4" ht="18" x14ac:dyDescent="0.35">
      <c r="A13" s="15" t="s">
        <v>72</v>
      </c>
      <c r="B13" s="16" t="s">
        <v>61</v>
      </c>
      <c r="C13" s="17">
        <v>100000</v>
      </c>
      <c r="D13" s="16" t="str">
        <f t="shared" ca="1" si="0"/>
        <v>Ramesh</v>
      </c>
    </row>
    <row r="14" spans="1:4" ht="18" x14ac:dyDescent="0.35">
      <c r="A14" s="15" t="s">
        <v>73</v>
      </c>
      <c r="B14" s="16" t="s">
        <v>64</v>
      </c>
      <c r="C14" s="17">
        <v>90000</v>
      </c>
      <c r="D14" s="16" t="str">
        <f t="shared" ca="1" si="0"/>
        <v>Arjun</v>
      </c>
    </row>
    <row r="15" spans="1:4" ht="18" x14ac:dyDescent="0.35">
      <c r="A15" s="15" t="s">
        <v>74</v>
      </c>
      <c r="B15" s="16" t="s">
        <v>55</v>
      </c>
      <c r="C15" s="17">
        <v>75000</v>
      </c>
      <c r="D15" s="16" t="str">
        <f t="shared" ca="1" si="0"/>
        <v>Sneha</v>
      </c>
    </row>
    <row r="16" spans="1:4" ht="18" x14ac:dyDescent="0.35">
      <c r="A16" s="15" t="s">
        <v>75</v>
      </c>
      <c r="B16" s="16" t="s">
        <v>61</v>
      </c>
      <c r="C16" s="17">
        <v>80000</v>
      </c>
      <c r="D16" s="16" t="str">
        <f t="shared" ca="1" si="0"/>
        <v>Ramesh</v>
      </c>
    </row>
    <row r="17" spans="1:4" ht="18" x14ac:dyDescent="0.35">
      <c r="A17" s="15" t="s">
        <v>76</v>
      </c>
      <c r="B17" s="16" t="s">
        <v>58</v>
      </c>
      <c r="C17" s="17">
        <v>85000</v>
      </c>
      <c r="D17" s="16" t="str">
        <f t="shared" ca="1" si="0"/>
        <v>Sneha</v>
      </c>
    </row>
    <row r="18" spans="1:4" ht="18" x14ac:dyDescent="0.35">
      <c r="A18" s="15" t="s">
        <v>78</v>
      </c>
      <c r="B18" s="16" t="s">
        <v>64</v>
      </c>
      <c r="C18" s="17">
        <v>120000</v>
      </c>
      <c r="D18" s="16" t="str">
        <f t="shared" ca="1" si="0"/>
        <v>Kavita</v>
      </c>
    </row>
    <row r="19" spans="1:4" ht="18" x14ac:dyDescent="0.35">
      <c r="A19" s="15" t="s">
        <v>77</v>
      </c>
      <c r="B19" s="16" t="s">
        <v>55</v>
      </c>
      <c r="C19" s="17">
        <v>130000</v>
      </c>
      <c r="D19" s="16" t="str">
        <f t="shared" ca="1" si="0"/>
        <v>Ramesh</v>
      </c>
    </row>
    <row r="20" spans="1:4" ht="18" x14ac:dyDescent="0.35">
      <c r="A20" s="15" t="s">
        <v>79</v>
      </c>
      <c r="B20" s="16" t="s">
        <v>58</v>
      </c>
      <c r="C20" s="17">
        <v>150000</v>
      </c>
      <c r="D20" s="16" t="str">
        <f t="shared" ca="1" si="0"/>
        <v>Arjun</v>
      </c>
    </row>
    <row r="21" spans="1:4" ht="18" x14ac:dyDescent="0.35">
      <c r="A21" s="15" t="s">
        <v>80</v>
      </c>
      <c r="B21" s="16" t="s">
        <v>61</v>
      </c>
      <c r="C21" s="17">
        <v>100000</v>
      </c>
      <c r="D21" s="16" t="str">
        <f t="shared" ca="1" si="0"/>
        <v>Kavita</v>
      </c>
    </row>
    <row r="22" spans="1:4" ht="15.6" x14ac:dyDescent="0.3">
      <c r="D22" s="12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BF6-E409-48F7-86FC-1A4BAAECCC4B}">
  <dimension ref="A1:G23"/>
  <sheetViews>
    <sheetView workbookViewId="0">
      <selection activeCell="O27" sqref="O27"/>
    </sheetView>
  </sheetViews>
  <sheetFormatPr defaultRowHeight="14.4" x14ac:dyDescent="0.3"/>
  <sheetData>
    <row r="1" spans="1:7" ht="38.4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98</v>
      </c>
      <c r="G1" s="6" t="s">
        <v>87</v>
      </c>
    </row>
    <row r="2" spans="1:7" ht="19.2" x14ac:dyDescent="0.3">
      <c r="A2" s="4">
        <v>1</v>
      </c>
      <c r="B2" s="19" t="s">
        <v>88</v>
      </c>
      <c r="C2" s="19">
        <v>78</v>
      </c>
      <c r="D2" s="19">
        <v>82</v>
      </c>
      <c r="E2" s="19">
        <v>74</v>
      </c>
      <c r="F2" s="4">
        <f>SUM(C2:E2)</f>
        <v>234</v>
      </c>
      <c r="G2" s="21">
        <v>0.78</v>
      </c>
    </row>
    <row r="3" spans="1:7" ht="19.2" x14ac:dyDescent="0.3">
      <c r="A3" s="3">
        <v>2</v>
      </c>
      <c r="B3" s="19" t="s">
        <v>89</v>
      </c>
      <c r="C3" s="19">
        <v>65</v>
      </c>
      <c r="D3" s="19">
        <v>70</v>
      </c>
      <c r="E3" s="19">
        <v>68</v>
      </c>
      <c r="F3" s="4">
        <f t="shared" ref="F3:F20" si="0">SUM(C3:E3)</f>
        <v>203</v>
      </c>
      <c r="G3" s="21">
        <v>0.67666666666666664</v>
      </c>
    </row>
    <row r="4" spans="1:7" ht="19.2" x14ac:dyDescent="0.3">
      <c r="A4" s="4">
        <v>3</v>
      </c>
      <c r="B4" s="19" t="s">
        <v>90</v>
      </c>
      <c r="C4" s="19">
        <v>90</v>
      </c>
      <c r="D4" s="19">
        <v>88</v>
      </c>
      <c r="E4" s="19">
        <v>92</v>
      </c>
      <c r="F4" s="4">
        <f t="shared" si="0"/>
        <v>270</v>
      </c>
      <c r="G4" s="21">
        <v>0.9</v>
      </c>
    </row>
    <row r="5" spans="1:7" ht="19.2" x14ac:dyDescent="0.3">
      <c r="A5" s="4">
        <v>4</v>
      </c>
      <c r="B5" s="19" t="s">
        <v>91</v>
      </c>
      <c r="C5" s="19">
        <v>35</v>
      </c>
      <c r="D5" s="19">
        <v>40</v>
      </c>
      <c r="E5" s="19">
        <v>38</v>
      </c>
      <c r="F5" s="4">
        <f t="shared" si="0"/>
        <v>113</v>
      </c>
      <c r="G5" s="21">
        <v>0.37666666666666665</v>
      </c>
    </row>
    <row r="6" spans="1:7" ht="19.2" x14ac:dyDescent="0.3">
      <c r="A6" s="4">
        <v>5</v>
      </c>
      <c r="B6" s="19" t="s">
        <v>92</v>
      </c>
      <c r="C6" s="19">
        <v>55</v>
      </c>
      <c r="D6" s="19">
        <v>60</v>
      </c>
      <c r="E6" s="19">
        <v>58</v>
      </c>
      <c r="F6" s="4">
        <f t="shared" si="0"/>
        <v>173</v>
      </c>
      <c r="G6" s="21">
        <v>0.57666666666666666</v>
      </c>
    </row>
    <row r="7" spans="1:7" ht="19.2" x14ac:dyDescent="0.3">
      <c r="A7" s="4">
        <v>6</v>
      </c>
      <c r="B7" s="19" t="s">
        <v>97</v>
      </c>
      <c r="C7" s="19">
        <v>35</v>
      </c>
      <c r="D7" s="19">
        <v>49</v>
      </c>
      <c r="E7" s="19">
        <v>67</v>
      </c>
      <c r="F7" s="4">
        <f t="shared" si="0"/>
        <v>151</v>
      </c>
      <c r="G7" s="21">
        <v>0.5033333333333333</v>
      </c>
    </row>
    <row r="8" spans="1:7" ht="19.2" x14ac:dyDescent="0.3">
      <c r="A8" s="4">
        <v>7</v>
      </c>
      <c r="B8" s="19" t="s">
        <v>96</v>
      </c>
      <c r="C8" s="19">
        <v>53</v>
      </c>
      <c r="D8" s="19">
        <v>89</v>
      </c>
      <c r="E8" s="19">
        <v>41</v>
      </c>
      <c r="F8" s="4">
        <f t="shared" si="0"/>
        <v>183</v>
      </c>
      <c r="G8" s="21">
        <v>0.61</v>
      </c>
    </row>
    <row r="9" spans="1:7" ht="19.2" x14ac:dyDescent="0.3">
      <c r="A9" s="4">
        <v>8</v>
      </c>
      <c r="B9" s="19" t="s">
        <v>97</v>
      </c>
      <c r="C9" s="19">
        <v>81</v>
      </c>
      <c r="D9" s="19">
        <v>50</v>
      </c>
      <c r="E9" s="19">
        <v>71</v>
      </c>
      <c r="F9" s="4">
        <f t="shared" si="0"/>
        <v>202</v>
      </c>
      <c r="G9" s="21">
        <v>0.67333333333333334</v>
      </c>
    </row>
    <row r="10" spans="1:7" ht="19.2" x14ac:dyDescent="0.3">
      <c r="A10" s="4">
        <v>9</v>
      </c>
      <c r="B10" s="19" t="s">
        <v>94</v>
      </c>
      <c r="C10" s="19">
        <v>42</v>
      </c>
      <c r="D10" s="19">
        <v>65</v>
      </c>
      <c r="E10" s="19">
        <v>63</v>
      </c>
      <c r="F10" s="4">
        <f t="shared" si="0"/>
        <v>170</v>
      </c>
      <c r="G10" s="21">
        <v>0.56666666666666665</v>
      </c>
    </row>
    <row r="11" spans="1:7" ht="19.2" x14ac:dyDescent="0.3">
      <c r="A11" s="4">
        <v>10</v>
      </c>
      <c r="B11" s="19" t="s">
        <v>94</v>
      </c>
      <c r="C11" s="19">
        <v>73</v>
      </c>
      <c r="D11" s="19">
        <v>83</v>
      </c>
      <c r="E11" s="19">
        <v>81</v>
      </c>
      <c r="F11" s="4">
        <f t="shared" si="0"/>
        <v>237</v>
      </c>
      <c r="G11" s="21">
        <v>0.79</v>
      </c>
    </row>
    <row r="12" spans="1:7" ht="19.2" x14ac:dyDescent="0.3">
      <c r="A12" s="4">
        <v>11</v>
      </c>
      <c r="B12" s="19" t="s">
        <v>95</v>
      </c>
      <c r="C12" s="19">
        <v>67</v>
      </c>
      <c r="D12" s="19">
        <v>57</v>
      </c>
      <c r="E12" s="19">
        <v>64</v>
      </c>
      <c r="F12" s="4">
        <f t="shared" si="0"/>
        <v>188</v>
      </c>
      <c r="G12" s="21">
        <v>0.62666666666666671</v>
      </c>
    </row>
    <row r="13" spans="1:7" ht="19.2" x14ac:dyDescent="0.3">
      <c r="A13" s="4">
        <v>12</v>
      </c>
      <c r="B13" s="19" t="s">
        <v>94</v>
      </c>
      <c r="C13" s="19">
        <v>51</v>
      </c>
      <c r="D13" s="19">
        <v>48</v>
      </c>
      <c r="E13" s="19">
        <v>67</v>
      </c>
      <c r="F13" s="4">
        <f t="shared" si="0"/>
        <v>166</v>
      </c>
      <c r="G13" s="21">
        <v>0.55333333333333334</v>
      </c>
    </row>
    <row r="14" spans="1:7" ht="19.2" x14ac:dyDescent="0.3">
      <c r="A14" s="4">
        <v>13</v>
      </c>
      <c r="B14" s="19" t="s">
        <v>95</v>
      </c>
      <c r="C14" s="19">
        <v>100</v>
      </c>
      <c r="D14" s="19">
        <v>51</v>
      </c>
      <c r="E14" s="19">
        <v>88</v>
      </c>
      <c r="F14" s="4">
        <f t="shared" si="0"/>
        <v>239</v>
      </c>
      <c r="G14" s="21">
        <v>0.79666666666666663</v>
      </c>
    </row>
    <row r="15" spans="1:7" ht="19.2" x14ac:dyDescent="0.3">
      <c r="A15" s="4">
        <v>14</v>
      </c>
      <c r="B15" s="19" t="s">
        <v>97</v>
      </c>
      <c r="C15" s="19">
        <v>57</v>
      </c>
      <c r="D15" s="19">
        <v>42</v>
      </c>
      <c r="E15" s="19">
        <v>100</v>
      </c>
      <c r="F15" s="4">
        <f t="shared" si="0"/>
        <v>199</v>
      </c>
      <c r="G15" s="21">
        <v>0.66333333333333333</v>
      </c>
    </row>
    <row r="16" spans="1:7" ht="19.2" x14ac:dyDescent="0.3">
      <c r="A16" s="4">
        <v>15</v>
      </c>
      <c r="B16" s="19" t="s">
        <v>96</v>
      </c>
      <c r="C16" s="19">
        <v>95</v>
      </c>
      <c r="D16" s="19">
        <v>97</v>
      </c>
      <c r="E16" s="19">
        <v>57</v>
      </c>
      <c r="F16" s="4">
        <f t="shared" si="0"/>
        <v>249</v>
      </c>
      <c r="G16" s="21">
        <v>0.83</v>
      </c>
    </row>
    <row r="17" spans="1:7" ht="19.2" x14ac:dyDescent="0.3">
      <c r="A17" s="4">
        <v>16</v>
      </c>
      <c r="B17" s="19" t="s">
        <v>96</v>
      </c>
      <c r="C17" s="19">
        <v>60</v>
      </c>
      <c r="D17" s="19">
        <v>44</v>
      </c>
      <c r="E17" s="19">
        <v>54</v>
      </c>
      <c r="F17" s="4">
        <f t="shared" si="0"/>
        <v>158</v>
      </c>
      <c r="G17" s="21">
        <v>0.52666666666666662</v>
      </c>
    </row>
    <row r="18" spans="1:7" ht="19.2" x14ac:dyDescent="0.3">
      <c r="A18" s="4">
        <v>17</v>
      </c>
      <c r="B18" s="19" t="s">
        <v>93</v>
      </c>
      <c r="C18" s="19">
        <v>57</v>
      </c>
      <c r="D18" s="19">
        <v>39</v>
      </c>
      <c r="E18" s="19">
        <v>43</v>
      </c>
      <c r="F18" s="4">
        <f t="shared" si="0"/>
        <v>139</v>
      </c>
      <c r="G18" s="21">
        <v>0.46333333333333332</v>
      </c>
    </row>
    <row r="19" spans="1:7" ht="19.2" x14ac:dyDescent="0.3">
      <c r="A19" s="4">
        <v>18</v>
      </c>
      <c r="B19" s="19" t="s">
        <v>97</v>
      </c>
      <c r="C19" s="19">
        <v>47</v>
      </c>
      <c r="D19" s="19">
        <v>64</v>
      </c>
      <c r="E19" s="19">
        <v>88</v>
      </c>
      <c r="F19" s="4">
        <f t="shared" si="0"/>
        <v>199</v>
      </c>
      <c r="G19" s="21">
        <v>0.66333333333333333</v>
      </c>
    </row>
    <row r="20" spans="1:7" ht="19.2" x14ac:dyDescent="0.3">
      <c r="A20" s="4">
        <v>19</v>
      </c>
      <c r="B20" s="19" t="s">
        <v>95</v>
      </c>
      <c r="C20" s="19">
        <v>73</v>
      </c>
      <c r="D20" s="19">
        <v>78</v>
      </c>
      <c r="E20" s="19">
        <v>91</v>
      </c>
      <c r="F20" s="4">
        <f t="shared" si="0"/>
        <v>242</v>
      </c>
      <c r="G20" s="21">
        <v>0.80666666666666664</v>
      </c>
    </row>
    <row r="21" spans="1:7" ht="19.8" thickBot="1" x14ac:dyDescent="0.35">
      <c r="A21" s="20"/>
    </row>
    <row r="22" spans="1:7" ht="19.8" thickBot="1" x14ac:dyDescent="0.35">
      <c r="A22" s="2"/>
    </row>
    <row r="23" spans="1:7" ht="19.8" thickBot="1" x14ac:dyDescent="0.35">
      <c r="A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3D10-646F-4D92-8CA2-B6E23FDE7F6D}">
  <dimension ref="A1:S26"/>
  <sheetViews>
    <sheetView workbookViewId="0">
      <selection activeCell="N15" sqref="N15"/>
    </sheetView>
  </sheetViews>
  <sheetFormatPr defaultRowHeight="14.4" x14ac:dyDescent="0.3"/>
  <cols>
    <col min="1" max="1" width="13.44140625" bestFit="1" customWidth="1"/>
    <col min="2" max="2" width="22.44140625" bestFit="1" customWidth="1"/>
    <col min="3" max="3" width="14.44140625" bestFit="1" customWidth="1"/>
    <col min="9" max="9" width="16.44140625" customWidth="1"/>
    <col min="10" max="10" width="15.6640625" customWidth="1"/>
    <col min="11" max="11" width="13.44140625" customWidth="1"/>
    <col min="16" max="16" width="22.33203125" customWidth="1"/>
    <col min="17" max="17" width="17.33203125" customWidth="1"/>
    <col min="19" max="19" width="20.33203125" customWidth="1"/>
  </cols>
  <sheetData>
    <row r="1" spans="1:19" ht="19.2" x14ac:dyDescent="0.3">
      <c r="A1" s="34" t="s">
        <v>99</v>
      </c>
      <c r="B1" s="34" t="s">
        <v>100</v>
      </c>
      <c r="C1" s="34" t="s">
        <v>52</v>
      </c>
      <c r="D1" s="5"/>
      <c r="E1" s="5"/>
      <c r="F1" s="5"/>
      <c r="G1" s="5"/>
      <c r="H1" s="5"/>
      <c r="I1" s="5"/>
      <c r="J1" s="5"/>
      <c r="K1" s="5"/>
    </row>
    <row r="2" spans="1:19" ht="19.2" x14ac:dyDescent="0.3">
      <c r="A2" s="35" t="s">
        <v>101</v>
      </c>
      <c r="B2" s="36">
        <v>45292</v>
      </c>
      <c r="C2" s="37">
        <v>12000</v>
      </c>
      <c r="D2" s="5"/>
      <c r="E2" s="5"/>
      <c r="F2" s="5"/>
      <c r="G2" s="5"/>
      <c r="H2" s="5"/>
      <c r="I2" s="5"/>
      <c r="J2" s="5"/>
      <c r="K2" s="5"/>
    </row>
    <row r="3" spans="1:19" ht="19.2" x14ac:dyDescent="0.3">
      <c r="A3" s="38" t="s">
        <v>102</v>
      </c>
      <c r="B3" s="39">
        <v>45352</v>
      </c>
      <c r="C3" s="40">
        <v>25000</v>
      </c>
      <c r="D3" s="5"/>
      <c r="E3" s="5"/>
      <c r="F3" s="5"/>
      <c r="G3" s="5"/>
      <c r="H3" s="5"/>
      <c r="I3" s="5"/>
      <c r="J3" s="5"/>
      <c r="K3" s="5"/>
    </row>
    <row r="4" spans="1:19" ht="19.2" x14ac:dyDescent="0.3">
      <c r="A4" s="35" t="s">
        <v>103</v>
      </c>
      <c r="B4" s="36">
        <v>45413</v>
      </c>
      <c r="C4" s="37">
        <v>8000</v>
      </c>
      <c r="D4" s="5"/>
      <c r="E4" s="5"/>
      <c r="F4" s="5"/>
      <c r="G4" s="5"/>
      <c r="H4" s="5"/>
      <c r="I4" s="5"/>
      <c r="J4" s="5"/>
      <c r="K4" s="5"/>
    </row>
    <row r="5" spans="1:19" ht="19.2" x14ac:dyDescent="0.3">
      <c r="A5" s="38" t="s">
        <v>104</v>
      </c>
      <c r="B5" s="39">
        <v>45505</v>
      </c>
      <c r="C5" s="40">
        <v>32000</v>
      </c>
      <c r="D5" s="5"/>
      <c r="E5" s="5"/>
      <c r="F5" s="5"/>
      <c r="G5" s="5"/>
      <c r="H5" s="5"/>
      <c r="I5" s="5"/>
      <c r="J5" s="5"/>
      <c r="K5" s="5"/>
    </row>
    <row r="6" spans="1:19" ht="19.2" x14ac:dyDescent="0.3">
      <c r="A6" s="38" t="s">
        <v>105</v>
      </c>
      <c r="B6" s="36">
        <v>45566</v>
      </c>
      <c r="C6" s="37">
        <v>15000</v>
      </c>
      <c r="D6" s="5"/>
      <c r="E6" s="5"/>
      <c r="F6" s="5"/>
      <c r="G6" s="5"/>
      <c r="H6" s="5"/>
      <c r="I6" s="5"/>
      <c r="J6" s="5"/>
      <c r="K6" s="5"/>
    </row>
    <row r="7" spans="1:19" ht="19.2" x14ac:dyDescent="0.3">
      <c r="A7" s="38" t="s">
        <v>106</v>
      </c>
      <c r="B7" s="36">
        <v>44250</v>
      </c>
      <c r="C7" s="37">
        <v>11692</v>
      </c>
      <c r="D7" s="5"/>
      <c r="E7" s="5"/>
      <c r="F7" s="5"/>
      <c r="G7" s="5"/>
      <c r="H7" s="5"/>
      <c r="I7" s="5"/>
      <c r="J7" s="5"/>
      <c r="K7" s="5"/>
      <c r="Q7" s="30"/>
      <c r="R7" s="30"/>
      <c r="S7" s="31"/>
    </row>
    <row r="8" spans="1:19" ht="19.2" x14ac:dyDescent="0.3">
      <c r="A8" s="38" t="s">
        <v>107</v>
      </c>
      <c r="B8" s="36">
        <v>44836</v>
      </c>
      <c r="C8" s="37">
        <v>23357</v>
      </c>
      <c r="D8" s="5"/>
      <c r="E8" s="5"/>
      <c r="F8" s="5"/>
      <c r="G8" s="5"/>
      <c r="H8" s="5"/>
      <c r="I8" s="5"/>
      <c r="J8" s="5"/>
      <c r="K8" s="5"/>
      <c r="Q8" s="30"/>
      <c r="R8" s="30"/>
      <c r="S8" s="31"/>
    </row>
    <row r="9" spans="1:19" ht="19.2" x14ac:dyDescent="0.3">
      <c r="A9" s="38" t="s">
        <v>108</v>
      </c>
      <c r="B9" s="36">
        <v>45158</v>
      </c>
      <c r="C9" s="37">
        <v>21159</v>
      </c>
      <c r="D9" s="5"/>
      <c r="E9" s="5"/>
      <c r="F9" s="5"/>
      <c r="G9" s="5"/>
      <c r="H9" s="5"/>
      <c r="I9" s="33"/>
      <c r="J9" s="32"/>
      <c r="K9" s="32"/>
      <c r="Q9" s="30"/>
      <c r="R9" s="30"/>
      <c r="S9" s="31"/>
    </row>
    <row r="10" spans="1:19" ht="19.2" x14ac:dyDescent="0.3">
      <c r="A10" s="38" t="s">
        <v>109</v>
      </c>
      <c r="B10" s="36">
        <v>44694</v>
      </c>
      <c r="C10" s="37">
        <v>23797</v>
      </c>
      <c r="D10" s="5"/>
      <c r="E10" s="5"/>
      <c r="F10" s="5"/>
      <c r="G10" s="5"/>
      <c r="H10" s="5"/>
      <c r="I10" s="41" t="s">
        <v>120</v>
      </c>
      <c r="J10" s="41">
        <v>343532</v>
      </c>
      <c r="K10" s="32"/>
      <c r="Q10" s="30"/>
      <c r="R10" s="30"/>
      <c r="S10" s="31"/>
    </row>
    <row r="11" spans="1:19" ht="19.2" x14ac:dyDescent="0.3">
      <c r="A11" s="38" t="s">
        <v>110</v>
      </c>
      <c r="B11" s="36">
        <v>45999</v>
      </c>
      <c r="C11" s="37">
        <v>16398</v>
      </c>
      <c r="D11" s="5"/>
      <c r="E11" s="5"/>
      <c r="F11" s="5"/>
      <c r="G11" s="5"/>
      <c r="H11" s="5"/>
      <c r="I11" s="41" t="s">
        <v>121</v>
      </c>
      <c r="J11" s="41">
        <v>18080.63</v>
      </c>
      <c r="K11" s="32"/>
      <c r="Q11" s="30"/>
      <c r="R11" s="30"/>
      <c r="S11" s="31"/>
    </row>
    <row r="12" spans="1:19" ht="19.2" x14ac:dyDescent="0.3">
      <c r="A12" s="38" t="s">
        <v>111</v>
      </c>
      <c r="B12" s="36">
        <v>45460</v>
      </c>
      <c r="C12" s="37">
        <v>22010</v>
      </c>
      <c r="D12" s="5"/>
      <c r="E12" s="5"/>
      <c r="F12" s="5"/>
      <c r="G12" s="5"/>
      <c r="H12" s="5"/>
      <c r="I12" s="41" t="s">
        <v>122</v>
      </c>
      <c r="J12" s="41">
        <v>32000</v>
      </c>
      <c r="K12" s="32"/>
      <c r="Q12" s="30"/>
      <c r="R12" s="30"/>
      <c r="S12" s="31"/>
    </row>
    <row r="13" spans="1:19" ht="19.2" x14ac:dyDescent="0.3">
      <c r="A13" s="38" t="s">
        <v>112</v>
      </c>
      <c r="B13" s="36">
        <v>45269</v>
      </c>
      <c r="C13" s="37">
        <v>22904</v>
      </c>
      <c r="D13" s="5"/>
      <c r="E13" s="5"/>
      <c r="F13" s="5"/>
      <c r="G13" s="5"/>
      <c r="H13" s="5"/>
      <c r="I13" s="41" t="s">
        <v>123</v>
      </c>
      <c r="J13" s="41">
        <v>8000</v>
      </c>
      <c r="K13" s="32"/>
      <c r="Q13" s="30"/>
      <c r="R13" s="30"/>
      <c r="S13" s="31"/>
    </row>
    <row r="14" spans="1:19" ht="19.2" x14ac:dyDescent="0.3">
      <c r="A14" s="38" t="s">
        <v>113</v>
      </c>
      <c r="B14" s="36">
        <v>45971</v>
      </c>
      <c r="C14" s="37">
        <v>16074</v>
      </c>
      <c r="D14" s="5"/>
      <c r="E14" s="5"/>
      <c r="F14" s="5"/>
      <c r="G14" s="5"/>
      <c r="H14" s="5"/>
      <c r="I14" s="33"/>
      <c r="J14" s="32"/>
      <c r="K14" s="32"/>
      <c r="Q14" s="30"/>
      <c r="R14" s="30"/>
      <c r="S14" s="31"/>
    </row>
    <row r="15" spans="1:19" ht="19.8" thickBot="1" x14ac:dyDescent="0.35">
      <c r="A15" s="38" t="s">
        <v>114</v>
      </c>
      <c r="B15" s="36">
        <v>45441</v>
      </c>
      <c r="C15" s="37">
        <v>11534</v>
      </c>
      <c r="D15" s="5"/>
      <c r="E15" s="5"/>
      <c r="F15" s="5"/>
      <c r="G15" s="5"/>
      <c r="H15" s="5"/>
      <c r="I15" s="33"/>
      <c r="J15" s="32"/>
      <c r="K15" s="32"/>
      <c r="Q15" s="30"/>
      <c r="R15" s="30"/>
      <c r="S15" s="31"/>
    </row>
    <row r="16" spans="1:19" ht="19.8" thickBot="1" x14ac:dyDescent="0.35">
      <c r="A16" s="38" t="s">
        <v>115</v>
      </c>
      <c r="B16" s="36">
        <v>44273</v>
      </c>
      <c r="C16" s="37">
        <v>18212</v>
      </c>
      <c r="D16" s="5"/>
      <c r="E16" s="5"/>
      <c r="F16" s="5"/>
      <c r="G16" s="5"/>
      <c r="H16" s="5"/>
      <c r="I16" s="33"/>
      <c r="J16" s="32"/>
      <c r="K16" s="32"/>
      <c r="S16" s="26"/>
    </row>
    <row r="17" spans="1:19" ht="19.8" thickBot="1" x14ac:dyDescent="0.35">
      <c r="A17" s="38" t="s">
        <v>116</v>
      </c>
      <c r="B17" s="36">
        <v>44000</v>
      </c>
      <c r="C17" s="37">
        <v>22132</v>
      </c>
      <c r="D17" s="5"/>
      <c r="E17" s="5"/>
      <c r="F17" s="5"/>
      <c r="G17" s="5"/>
      <c r="H17" s="5"/>
      <c r="I17" s="5"/>
      <c r="J17" s="5"/>
      <c r="K17" s="35"/>
      <c r="S17" s="26"/>
    </row>
    <row r="18" spans="1:19" ht="19.8" thickBot="1" x14ac:dyDescent="0.35">
      <c r="A18" s="38" t="s">
        <v>117</v>
      </c>
      <c r="B18" s="36">
        <v>45439</v>
      </c>
      <c r="C18" s="37">
        <v>13738</v>
      </c>
      <c r="D18" s="5"/>
      <c r="E18" s="5"/>
      <c r="F18" s="5"/>
      <c r="G18" s="5"/>
      <c r="H18" s="5"/>
      <c r="I18" s="5"/>
      <c r="J18" s="5"/>
      <c r="K18" s="35"/>
      <c r="S18" s="26"/>
    </row>
    <row r="19" spans="1:19" ht="19.8" thickBot="1" x14ac:dyDescent="0.35">
      <c r="A19" s="38" t="s">
        <v>118</v>
      </c>
      <c r="B19" s="36">
        <v>45080</v>
      </c>
      <c r="C19" s="37">
        <v>16738</v>
      </c>
      <c r="D19" s="5"/>
      <c r="E19" s="5"/>
      <c r="F19" s="5"/>
      <c r="G19" s="5"/>
      <c r="H19" s="5"/>
      <c r="I19" s="5"/>
      <c r="J19" s="5"/>
      <c r="K19" s="35"/>
      <c r="S19" s="26"/>
    </row>
    <row r="20" spans="1:19" ht="19.8" thickBot="1" x14ac:dyDescent="0.35">
      <c r="A20" s="38" t="s">
        <v>119</v>
      </c>
      <c r="B20" s="36">
        <v>45841</v>
      </c>
      <c r="C20" s="37">
        <v>11787</v>
      </c>
      <c r="D20" s="5"/>
      <c r="E20" s="5"/>
      <c r="F20" s="5"/>
      <c r="G20" s="5"/>
      <c r="H20" s="5"/>
      <c r="I20" s="5"/>
      <c r="J20" s="5"/>
      <c r="K20" s="35"/>
      <c r="S20" s="26"/>
    </row>
    <row r="21" spans="1:19" ht="19.8" thickBot="1" x14ac:dyDescent="0.35">
      <c r="K21" s="29"/>
      <c r="S21" s="26"/>
    </row>
    <row r="22" spans="1:19" ht="19.8" thickBot="1" x14ac:dyDescent="0.35">
      <c r="K22" s="23"/>
      <c r="S22" s="26"/>
    </row>
    <row r="23" spans="1:19" ht="19.8" thickBot="1" x14ac:dyDescent="0.35">
      <c r="K23" s="23"/>
      <c r="S23" s="26"/>
    </row>
    <row r="24" spans="1:19" ht="19.8" thickBot="1" x14ac:dyDescent="0.35">
      <c r="K24" s="25"/>
      <c r="S24" s="26"/>
    </row>
    <row r="25" spans="1:19" ht="19.8" thickBot="1" x14ac:dyDescent="0.35">
      <c r="K25" s="25"/>
      <c r="S25" s="26"/>
    </row>
    <row r="26" spans="1:19" ht="19.8" thickBot="1" x14ac:dyDescent="0.35">
      <c r="K26" s="25"/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668B-110A-4395-8825-10FB7CFE8852}">
  <dimension ref="A1:W25"/>
  <sheetViews>
    <sheetView topLeftCell="A4" workbookViewId="0">
      <selection activeCell="N25" sqref="N25"/>
    </sheetView>
  </sheetViews>
  <sheetFormatPr defaultRowHeight="14.4" x14ac:dyDescent="0.3"/>
  <cols>
    <col min="1" max="1" width="22" bestFit="1" customWidth="1"/>
    <col min="2" max="2" width="14.6640625" bestFit="1" customWidth="1"/>
    <col min="3" max="3" width="9" bestFit="1" customWidth="1"/>
    <col min="11" max="11" width="39.44140625" customWidth="1"/>
    <col min="12" max="12" width="15.109375" customWidth="1"/>
    <col min="14" max="14" width="19.6640625" customWidth="1"/>
  </cols>
  <sheetData>
    <row r="1" spans="1:23" ht="19.8" thickBot="1" x14ac:dyDescent="0.35">
      <c r="A1" s="22" t="s">
        <v>124</v>
      </c>
      <c r="B1" s="22" t="s">
        <v>2</v>
      </c>
      <c r="C1" s="22" t="s">
        <v>3</v>
      </c>
    </row>
    <row r="2" spans="1:23" ht="19.8" thickBot="1" x14ac:dyDescent="0.35">
      <c r="A2" s="24" t="s">
        <v>128</v>
      </c>
      <c r="B2" s="24" t="s">
        <v>13</v>
      </c>
      <c r="C2" s="24">
        <v>42000</v>
      </c>
    </row>
    <row r="3" spans="1:23" ht="19.8" thickBot="1" x14ac:dyDescent="0.35">
      <c r="A3" s="24" t="s">
        <v>130</v>
      </c>
      <c r="B3" s="24" t="s">
        <v>13</v>
      </c>
      <c r="C3" s="24">
        <v>38000</v>
      </c>
    </row>
    <row r="4" spans="1:23" ht="19.8" thickBot="1" x14ac:dyDescent="0.35">
      <c r="A4" s="23" t="s">
        <v>128</v>
      </c>
      <c r="B4" s="23" t="s">
        <v>13</v>
      </c>
      <c r="C4" s="23">
        <v>44577</v>
      </c>
    </row>
    <row r="5" spans="1:23" ht="19.8" thickBot="1" x14ac:dyDescent="0.35">
      <c r="A5" s="24" t="s">
        <v>127</v>
      </c>
      <c r="B5" s="24" t="s">
        <v>13</v>
      </c>
      <c r="C5" s="24">
        <v>32607</v>
      </c>
    </row>
    <row r="6" spans="1:23" ht="19.8" thickBot="1" x14ac:dyDescent="0.35">
      <c r="A6" s="23" t="s">
        <v>125</v>
      </c>
      <c r="B6" s="23" t="s">
        <v>7</v>
      </c>
      <c r="C6" s="23">
        <v>28000</v>
      </c>
    </row>
    <row r="7" spans="1:23" ht="19.8" thickBot="1" x14ac:dyDescent="0.35">
      <c r="A7" s="23" t="s">
        <v>129</v>
      </c>
      <c r="B7" s="23" t="s">
        <v>7</v>
      </c>
      <c r="C7" s="23">
        <v>30000</v>
      </c>
    </row>
    <row r="8" spans="1:23" ht="19.8" thickBot="1" x14ac:dyDescent="0.35">
      <c r="A8" s="23" t="s">
        <v>126</v>
      </c>
      <c r="B8" s="23" t="s">
        <v>7</v>
      </c>
      <c r="C8" s="23">
        <v>33390</v>
      </c>
    </row>
    <row r="9" spans="1:23" ht="19.8" thickBot="1" x14ac:dyDescent="0.35">
      <c r="A9" s="24" t="s">
        <v>126</v>
      </c>
      <c r="B9" s="24" t="s">
        <v>7</v>
      </c>
      <c r="C9" s="24">
        <v>43822</v>
      </c>
      <c r="L9" s="28"/>
      <c r="M9" s="28"/>
      <c r="N9" s="28"/>
      <c r="U9" s="27"/>
      <c r="V9" s="27"/>
      <c r="W9" s="27"/>
    </row>
    <row r="10" spans="1:23" ht="19.8" thickBot="1" x14ac:dyDescent="0.35">
      <c r="A10" s="23" t="s">
        <v>128</v>
      </c>
      <c r="B10" s="23" t="s">
        <v>7</v>
      </c>
      <c r="C10" s="23">
        <v>34832</v>
      </c>
      <c r="L10" s="28"/>
      <c r="M10" s="28"/>
      <c r="N10" s="28"/>
    </row>
    <row r="11" spans="1:23" ht="19.8" thickBot="1" x14ac:dyDescent="0.35">
      <c r="A11" s="23" t="s">
        <v>127</v>
      </c>
      <c r="B11" s="23" t="s">
        <v>7</v>
      </c>
      <c r="C11" s="23">
        <v>34279</v>
      </c>
      <c r="K11" s="42"/>
      <c r="L11" s="27"/>
      <c r="M11" s="28"/>
      <c r="N11" s="28"/>
    </row>
    <row r="12" spans="1:23" ht="19.8" thickBot="1" x14ac:dyDescent="0.35">
      <c r="A12" s="24" t="s">
        <v>125</v>
      </c>
      <c r="B12" s="24" t="s">
        <v>7</v>
      </c>
      <c r="C12" s="24">
        <v>47972</v>
      </c>
      <c r="M12" s="28"/>
      <c r="N12" s="28"/>
    </row>
    <row r="13" spans="1:23" ht="19.8" thickBot="1" x14ac:dyDescent="0.35">
      <c r="A13" s="24" t="s">
        <v>126</v>
      </c>
      <c r="B13" s="24" t="s">
        <v>10</v>
      </c>
      <c r="C13" s="24">
        <v>45000</v>
      </c>
      <c r="K13" s="28"/>
      <c r="L13" s="45"/>
      <c r="N13" s="28"/>
    </row>
    <row r="14" spans="1:23" ht="19.8" thickBot="1" x14ac:dyDescent="0.35">
      <c r="A14" s="23" t="s">
        <v>127</v>
      </c>
      <c r="B14" s="23" t="s">
        <v>10</v>
      </c>
      <c r="C14" s="23">
        <v>50000</v>
      </c>
    </row>
    <row r="15" spans="1:23" ht="19.8" thickBot="1" x14ac:dyDescent="0.35">
      <c r="A15" s="23" t="s">
        <v>127</v>
      </c>
      <c r="B15" s="23" t="s">
        <v>10</v>
      </c>
      <c r="C15" s="23">
        <v>34234</v>
      </c>
      <c r="K15" s="27"/>
      <c r="L15" s="27"/>
    </row>
    <row r="16" spans="1:23" ht="19.8" thickBot="1" x14ac:dyDescent="0.35">
      <c r="A16" s="24" t="s">
        <v>128</v>
      </c>
      <c r="B16" s="24" t="s">
        <v>10</v>
      </c>
      <c r="C16" s="24">
        <v>47569</v>
      </c>
    </row>
    <row r="17" spans="1:3" ht="19.8" thickBot="1" x14ac:dyDescent="0.35">
      <c r="A17" s="24" t="s">
        <v>130</v>
      </c>
      <c r="B17" s="24" t="s">
        <v>10</v>
      </c>
      <c r="C17" s="24">
        <v>46491</v>
      </c>
    </row>
    <row r="18" spans="1:3" ht="19.8" thickBot="1" x14ac:dyDescent="0.35">
      <c r="A18" s="23" t="s">
        <v>128</v>
      </c>
      <c r="B18" s="23" t="s">
        <v>10</v>
      </c>
      <c r="C18" s="23">
        <v>36396</v>
      </c>
    </row>
    <row r="19" spans="1:3" ht="19.8" thickBot="1" x14ac:dyDescent="0.35">
      <c r="A19" s="24" t="s">
        <v>128</v>
      </c>
      <c r="B19" s="24" t="s">
        <v>10</v>
      </c>
      <c r="C19" s="24">
        <v>40341</v>
      </c>
    </row>
    <row r="20" spans="1:3" ht="19.8" thickBot="1" x14ac:dyDescent="0.35">
      <c r="A20" s="23" t="s">
        <v>129</v>
      </c>
      <c r="B20" s="23" t="s">
        <v>10</v>
      </c>
      <c r="C20" s="23">
        <v>46096</v>
      </c>
    </row>
    <row r="21" spans="1:3" ht="19.2" x14ac:dyDescent="0.3">
      <c r="A21" s="43" t="s">
        <v>131</v>
      </c>
      <c r="B21" s="51">
        <v>755606</v>
      </c>
      <c r="C21" s="52"/>
    </row>
    <row r="22" spans="1:3" ht="19.2" x14ac:dyDescent="0.3">
      <c r="A22" s="44" t="s">
        <v>132</v>
      </c>
      <c r="B22" s="49">
        <v>346127</v>
      </c>
      <c r="C22" s="50"/>
    </row>
    <row r="23" spans="1:3" ht="19.2" x14ac:dyDescent="0.3">
      <c r="A23" s="43" t="s">
        <v>133</v>
      </c>
      <c r="B23" s="47">
        <v>204323</v>
      </c>
      <c r="C23" s="48"/>
    </row>
    <row r="24" spans="1:3" ht="19.2" x14ac:dyDescent="0.3">
      <c r="A24" s="44" t="s">
        <v>134</v>
      </c>
      <c r="B24" s="49">
        <v>39768.736842105303</v>
      </c>
      <c r="C24" s="50"/>
    </row>
    <row r="25" spans="1:3" ht="19.2" x14ac:dyDescent="0.3">
      <c r="A25" s="43" t="s">
        <v>135</v>
      </c>
      <c r="B25" s="47">
        <v>19</v>
      </c>
      <c r="C25" s="48"/>
    </row>
  </sheetData>
  <sortState xmlns:xlrd2="http://schemas.microsoft.com/office/spreadsheetml/2017/richdata2" ref="A2:C20">
    <sortCondition ref="B2:B20"/>
  </sortState>
  <mergeCells count="5">
    <mergeCell ref="B23:C23"/>
    <mergeCell ref="B24:C24"/>
    <mergeCell ref="B25:C25"/>
    <mergeCell ref="B21:C21"/>
    <mergeCell ref="B22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AEC4-0941-4491-8A53-F564432FFA93}">
  <dimension ref="A1:K20"/>
  <sheetViews>
    <sheetView workbookViewId="0">
      <selection activeCell="J3" sqref="J3"/>
    </sheetView>
  </sheetViews>
  <sheetFormatPr defaultRowHeight="14.4" x14ac:dyDescent="0.3"/>
  <cols>
    <col min="1" max="1" width="14.21875" customWidth="1"/>
    <col min="2" max="2" width="10" customWidth="1"/>
    <col min="3" max="3" width="10.6640625" customWidth="1"/>
    <col min="4" max="4" width="8.21875" customWidth="1"/>
    <col min="5" max="5" width="10" customWidth="1"/>
    <col min="6" max="6" width="9.88671875" customWidth="1"/>
    <col min="7" max="7" width="16.109375" customWidth="1"/>
    <col min="8" max="8" width="16.5546875" customWidth="1"/>
  </cols>
  <sheetData>
    <row r="1" spans="1:11" ht="81.599999999999994" x14ac:dyDescent="0.3">
      <c r="A1" s="65" t="s">
        <v>83</v>
      </c>
      <c r="B1" s="65" t="s">
        <v>136</v>
      </c>
      <c r="C1" s="65" t="s">
        <v>137</v>
      </c>
      <c r="D1" s="65" t="s">
        <v>138</v>
      </c>
      <c r="E1" s="65" t="s">
        <v>139</v>
      </c>
      <c r="F1" s="65" t="s">
        <v>140</v>
      </c>
      <c r="G1" s="65" t="s">
        <v>143</v>
      </c>
      <c r="H1" s="65" t="s">
        <v>144</v>
      </c>
    </row>
    <row r="2" spans="1:11" ht="21" x14ac:dyDescent="0.4">
      <c r="A2" s="66" t="s">
        <v>88</v>
      </c>
      <c r="B2" s="67" t="s">
        <v>141</v>
      </c>
      <c r="C2" s="67" t="s">
        <v>142</v>
      </c>
      <c r="D2" s="67" t="s">
        <v>141</v>
      </c>
      <c r="E2" s="67" t="s">
        <v>141</v>
      </c>
      <c r="F2" s="67" t="s">
        <v>141</v>
      </c>
      <c r="G2" s="68">
        <f>COUNTIF(B2:F2,"P")</f>
        <v>4</v>
      </c>
      <c r="H2" s="68">
        <f>COUNTIF(B2:F2,"A")</f>
        <v>1</v>
      </c>
      <c r="K2" s="64"/>
    </row>
    <row r="3" spans="1:11" ht="20.399999999999999" x14ac:dyDescent="0.35">
      <c r="A3" s="66" t="s">
        <v>89</v>
      </c>
      <c r="B3" s="67" t="s">
        <v>141</v>
      </c>
      <c r="C3" s="67" t="s">
        <v>141</v>
      </c>
      <c r="D3" s="67" t="s">
        <v>141</v>
      </c>
      <c r="E3" s="67" t="s">
        <v>142</v>
      </c>
      <c r="F3" s="67" t="s">
        <v>141</v>
      </c>
      <c r="G3" s="68">
        <f t="shared" ref="G3:G20" si="0">COUNTIF(B3:F3,"P")</f>
        <v>4</v>
      </c>
      <c r="H3" s="68">
        <f t="shared" ref="H3:H20" si="1">COUNTIF(B3:F3,"A")</f>
        <v>1</v>
      </c>
    </row>
    <row r="4" spans="1:11" ht="20.399999999999999" x14ac:dyDescent="0.35">
      <c r="A4" s="66" t="s">
        <v>90</v>
      </c>
      <c r="B4" s="67" t="s">
        <v>142</v>
      </c>
      <c r="C4" s="67" t="s">
        <v>141</v>
      </c>
      <c r="D4" s="67" t="s">
        <v>141</v>
      </c>
      <c r="E4" s="67" t="s">
        <v>141</v>
      </c>
      <c r="F4" s="67" t="s">
        <v>141</v>
      </c>
      <c r="G4" s="68">
        <f t="shared" si="0"/>
        <v>4</v>
      </c>
      <c r="H4" s="68">
        <f t="shared" si="1"/>
        <v>1</v>
      </c>
    </row>
    <row r="5" spans="1:11" ht="20.399999999999999" x14ac:dyDescent="0.35">
      <c r="A5" s="66" t="s">
        <v>91</v>
      </c>
      <c r="B5" s="67" t="s">
        <v>141</v>
      </c>
      <c r="C5" s="67" t="s">
        <v>142</v>
      </c>
      <c r="D5" s="67" t="s">
        <v>142</v>
      </c>
      <c r="E5" s="67" t="s">
        <v>141</v>
      </c>
      <c r="F5" s="67" t="s">
        <v>142</v>
      </c>
      <c r="G5" s="68">
        <f t="shared" si="0"/>
        <v>2</v>
      </c>
      <c r="H5" s="68">
        <f t="shared" si="1"/>
        <v>3</v>
      </c>
    </row>
    <row r="6" spans="1:11" ht="20.399999999999999" x14ac:dyDescent="0.35">
      <c r="A6" s="66" t="s">
        <v>91</v>
      </c>
      <c r="B6" s="68" t="s">
        <v>142</v>
      </c>
      <c r="C6" s="68" t="s">
        <v>142</v>
      </c>
      <c r="D6" s="68" t="s">
        <v>141</v>
      </c>
      <c r="E6" s="68" t="s">
        <v>141</v>
      </c>
      <c r="F6" s="68" t="s">
        <v>141</v>
      </c>
      <c r="G6" s="68">
        <f t="shared" si="0"/>
        <v>3</v>
      </c>
      <c r="H6" s="68">
        <f t="shared" si="1"/>
        <v>2</v>
      </c>
    </row>
    <row r="7" spans="1:11" ht="20.399999999999999" x14ac:dyDescent="0.35">
      <c r="A7" s="66" t="s">
        <v>91</v>
      </c>
      <c r="B7" s="68" t="s">
        <v>142</v>
      </c>
      <c r="C7" s="68" t="s">
        <v>141</v>
      </c>
      <c r="D7" s="68" t="s">
        <v>142</v>
      </c>
      <c r="E7" s="68" t="s">
        <v>142</v>
      </c>
      <c r="F7" s="68" t="s">
        <v>142</v>
      </c>
      <c r="G7" s="68">
        <f t="shared" si="0"/>
        <v>1</v>
      </c>
      <c r="H7" s="68">
        <f t="shared" si="1"/>
        <v>4</v>
      </c>
    </row>
    <row r="8" spans="1:11" ht="20.399999999999999" x14ac:dyDescent="0.35">
      <c r="A8" s="66" t="s">
        <v>91</v>
      </c>
      <c r="B8" s="68" t="s">
        <v>142</v>
      </c>
      <c r="C8" s="68" t="s">
        <v>142</v>
      </c>
      <c r="D8" s="68" t="s">
        <v>141</v>
      </c>
      <c r="E8" s="68" t="s">
        <v>141</v>
      </c>
      <c r="F8" s="68" t="s">
        <v>141</v>
      </c>
      <c r="G8" s="68">
        <f t="shared" si="0"/>
        <v>3</v>
      </c>
      <c r="H8" s="68">
        <f t="shared" si="1"/>
        <v>2</v>
      </c>
    </row>
    <row r="9" spans="1:11" ht="20.399999999999999" x14ac:dyDescent="0.35">
      <c r="A9" s="66" t="s">
        <v>91</v>
      </c>
      <c r="B9" s="68" t="s">
        <v>141</v>
      </c>
      <c r="C9" s="68" t="s">
        <v>141</v>
      </c>
      <c r="D9" s="68" t="s">
        <v>141</v>
      </c>
      <c r="E9" s="68" t="s">
        <v>141</v>
      </c>
      <c r="F9" s="68" t="s">
        <v>142</v>
      </c>
      <c r="G9" s="68">
        <f t="shared" si="0"/>
        <v>4</v>
      </c>
      <c r="H9" s="68">
        <f t="shared" si="1"/>
        <v>1</v>
      </c>
    </row>
    <row r="10" spans="1:11" ht="20.399999999999999" x14ac:dyDescent="0.35">
      <c r="A10" s="66" t="s">
        <v>88</v>
      </c>
      <c r="B10" s="68" t="s">
        <v>141</v>
      </c>
      <c r="C10" s="68" t="s">
        <v>142</v>
      </c>
      <c r="D10" s="68" t="s">
        <v>141</v>
      </c>
      <c r="E10" s="68" t="s">
        <v>141</v>
      </c>
      <c r="F10" s="68" t="s">
        <v>141</v>
      </c>
      <c r="G10" s="68">
        <f t="shared" si="0"/>
        <v>4</v>
      </c>
      <c r="H10" s="68">
        <f t="shared" si="1"/>
        <v>1</v>
      </c>
    </row>
    <row r="11" spans="1:11" ht="20.399999999999999" x14ac:dyDescent="0.35">
      <c r="A11" s="66" t="s">
        <v>89</v>
      </c>
      <c r="B11" s="68" t="s">
        <v>141</v>
      </c>
      <c r="C11" s="68" t="s">
        <v>141</v>
      </c>
      <c r="D11" s="68" t="s">
        <v>142</v>
      </c>
      <c r="E11" s="68" t="s">
        <v>141</v>
      </c>
      <c r="F11" s="68" t="s">
        <v>141</v>
      </c>
      <c r="G11" s="68">
        <f t="shared" si="0"/>
        <v>4</v>
      </c>
      <c r="H11" s="68">
        <f t="shared" si="1"/>
        <v>1</v>
      </c>
    </row>
    <row r="12" spans="1:11" ht="20.399999999999999" x14ac:dyDescent="0.35">
      <c r="A12" s="66" t="s">
        <v>90</v>
      </c>
      <c r="B12" s="68" t="s">
        <v>141</v>
      </c>
      <c r="C12" s="68" t="s">
        <v>142</v>
      </c>
      <c r="D12" s="68" t="s">
        <v>141</v>
      </c>
      <c r="E12" s="68" t="s">
        <v>142</v>
      </c>
      <c r="F12" s="68" t="s">
        <v>141</v>
      </c>
      <c r="G12" s="68">
        <f t="shared" si="0"/>
        <v>3</v>
      </c>
      <c r="H12" s="68">
        <f t="shared" si="1"/>
        <v>2</v>
      </c>
    </row>
    <row r="13" spans="1:11" ht="20.399999999999999" x14ac:dyDescent="0.35">
      <c r="A13" s="66" t="s">
        <v>91</v>
      </c>
      <c r="B13" s="68" t="s">
        <v>141</v>
      </c>
      <c r="C13" s="68" t="s">
        <v>142</v>
      </c>
      <c r="D13" s="68" t="s">
        <v>141</v>
      </c>
      <c r="E13" s="68" t="s">
        <v>141</v>
      </c>
      <c r="F13" s="68" t="s">
        <v>142</v>
      </c>
      <c r="G13" s="68">
        <f t="shared" si="0"/>
        <v>3</v>
      </c>
      <c r="H13" s="68">
        <f t="shared" si="1"/>
        <v>2</v>
      </c>
    </row>
    <row r="14" spans="1:11" ht="20.399999999999999" x14ac:dyDescent="0.35">
      <c r="A14" s="66" t="s">
        <v>88</v>
      </c>
      <c r="B14" s="68" t="s">
        <v>141</v>
      </c>
      <c r="C14" s="68" t="s">
        <v>141</v>
      </c>
      <c r="D14" s="68" t="s">
        <v>142</v>
      </c>
      <c r="E14" s="68" t="s">
        <v>142</v>
      </c>
      <c r="F14" s="68" t="s">
        <v>142</v>
      </c>
      <c r="G14" s="68">
        <f t="shared" si="0"/>
        <v>2</v>
      </c>
      <c r="H14" s="68">
        <f t="shared" si="1"/>
        <v>3</v>
      </c>
    </row>
    <row r="15" spans="1:11" ht="20.399999999999999" x14ac:dyDescent="0.35">
      <c r="A15" s="66" t="s">
        <v>91</v>
      </c>
      <c r="B15" s="68" t="s">
        <v>141</v>
      </c>
      <c r="C15" s="68" t="s">
        <v>141</v>
      </c>
      <c r="D15" s="68" t="s">
        <v>142</v>
      </c>
      <c r="E15" s="68" t="s">
        <v>142</v>
      </c>
      <c r="F15" s="68" t="s">
        <v>141</v>
      </c>
      <c r="G15" s="68">
        <f t="shared" si="0"/>
        <v>3</v>
      </c>
      <c r="H15" s="68">
        <f t="shared" si="1"/>
        <v>2</v>
      </c>
    </row>
    <row r="16" spans="1:11" ht="20.399999999999999" x14ac:dyDescent="0.35">
      <c r="A16" s="66" t="s">
        <v>89</v>
      </c>
      <c r="B16" s="68" t="s">
        <v>141</v>
      </c>
      <c r="C16" s="68" t="s">
        <v>141</v>
      </c>
      <c r="D16" s="68" t="s">
        <v>141</v>
      </c>
      <c r="E16" s="68" t="s">
        <v>142</v>
      </c>
      <c r="F16" s="68" t="s">
        <v>141</v>
      </c>
      <c r="G16" s="68">
        <f t="shared" si="0"/>
        <v>4</v>
      </c>
      <c r="H16" s="68">
        <f t="shared" si="1"/>
        <v>1</v>
      </c>
    </row>
    <row r="17" spans="1:8" ht="20.399999999999999" x14ac:dyDescent="0.35">
      <c r="A17" s="66" t="s">
        <v>88</v>
      </c>
      <c r="B17" s="68" t="s">
        <v>141</v>
      </c>
      <c r="C17" s="68" t="s">
        <v>142</v>
      </c>
      <c r="D17" s="68" t="s">
        <v>141</v>
      </c>
      <c r="E17" s="68" t="s">
        <v>142</v>
      </c>
      <c r="F17" s="68" t="s">
        <v>141</v>
      </c>
      <c r="G17" s="68">
        <f t="shared" si="0"/>
        <v>3</v>
      </c>
      <c r="H17" s="68">
        <f t="shared" si="1"/>
        <v>2</v>
      </c>
    </row>
    <row r="18" spans="1:8" ht="20.399999999999999" x14ac:dyDescent="0.35">
      <c r="A18" s="66" t="s">
        <v>88</v>
      </c>
      <c r="B18" s="68" t="s">
        <v>141</v>
      </c>
      <c r="C18" s="68" t="s">
        <v>142</v>
      </c>
      <c r="D18" s="68" t="s">
        <v>142</v>
      </c>
      <c r="E18" s="68" t="s">
        <v>142</v>
      </c>
      <c r="F18" s="68" t="s">
        <v>142</v>
      </c>
      <c r="G18" s="68">
        <f t="shared" si="0"/>
        <v>1</v>
      </c>
      <c r="H18" s="68">
        <f t="shared" si="1"/>
        <v>4</v>
      </c>
    </row>
    <row r="19" spans="1:8" ht="20.399999999999999" x14ac:dyDescent="0.35">
      <c r="A19" s="66" t="s">
        <v>88</v>
      </c>
      <c r="B19" s="68" t="s">
        <v>141</v>
      </c>
      <c r="C19" s="68" t="s">
        <v>141</v>
      </c>
      <c r="D19" s="68" t="s">
        <v>142</v>
      </c>
      <c r="E19" s="68" t="s">
        <v>142</v>
      </c>
      <c r="F19" s="68" t="s">
        <v>141</v>
      </c>
      <c r="G19" s="68">
        <f t="shared" si="0"/>
        <v>3</v>
      </c>
      <c r="H19" s="68">
        <f t="shared" si="1"/>
        <v>2</v>
      </c>
    </row>
    <row r="20" spans="1:8" ht="20.399999999999999" x14ac:dyDescent="0.35">
      <c r="A20" s="66" t="s">
        <v>88</v>
      </c>
      <c r="B20" s="68" t="s">
        <v>141</v>
      </c>
      <c r="C20" s="68" t="s">
        <v>142</v>
      </c>
      <c r="D20" s="68" t="s">
        <v>142</v>
      </c>
      <c r="E20" s="68" t="s">
        <v>141</v>
      </c>
      <c r="F20" s="68" t="s">
        <v>142</v>
      </c>
      <c r="G20" s="68">
        <f t="shared" si="0"/>
        <v>2</v>
      </c>
      <c r="H20" s="68">
        <f t="shared" si="1"/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BA49-61DD-4DB0-B888-4482F63C1EE9}">
  <dimension ref="A1:H22"/>
  <sheetViews>
    <sheetView workbookViewId="0">
      <selection activeCell="K8" sqref="K8"/>
    </sheetView>
  </sheetViews>
  <sheetFormatPr defaultRowHeight="14.4" x14ac:dyDescent="0.3"/>
  <cols>
    <col min="5" max="5" width="27.6640625" bestFit="1" customWidth="1"/>
  </cols>
  <sheetData>
    <row r="1" spans="1:8" ht="30.6" thickBot="1" x14ac:dyDescent="0.35">
      <c r="A1" s="53" t="s">
        <v>145</v>
      </c>
      <c r="B1" s="53" t="s">
        <v>52</v>
      </c>
    </row>
    <row r="2" spans="1:8" ht="15.6" thickBot="1" x14ac:dyDescent="0.35">
      <c r="A2" s="54" t="s">
        <v>146</v>
      </c>
      <c r="B2" s="54">
        <v>4500</v>
      </c>
    </row>
    <row r="3" spans="1:8" ht="15.6" thickBot="1" x14ac:dyDescent="0.35">
      <c r="A3" s="54" t="s">
        <v>147</v>
      </c>
      <c r="B3" s="54">
        <v>12000</v>
      </c>
    </row>
    <row r="4" spans="1:8" ht="15.6" thickBot="1" x14ac:dyDescent="0.35">
      <c r="A4" s="54" t="s">
        <v>148</v>
      </c>
      <c r="B4" s="54">
        <v>8000</v>
      </c>
      <c r="D4" s="56"/>
      <c r="E4" s="56"/>
    </row>
    <row r="5" spans="1:8" ht="15.6" thickBot="1" x14ac:dyDescent="0.35">
      <c r="A5" s="54" t="s">
        <v>149</v>
      </c>
      <c r="B5" s="54">
        <v>25000</v>
      </c>
      <c r="D5" s="56"/>
      <c r="E5" s="56"/>
    </row>
    <row r="6" spans="1:8" ht="15.6" thickBot="1" x14ac:dyDescent="0.35">
      <c r="A6" s="54" t="s">
        <v>150</v>
      </c>
      <c r="B6" s="54">
        <v>3000</v>
      </c>
      <c r="D6" s="56"/>
      <c r="E6" s="56"/>
      <c r="G6" s="57"/>
      <c r="H6" s="57"/>
    </row>
    <row r="7" spans="1:8" ht="15.6" thickBot="1" x14ac:dyDescent="0.35">
      <c r="A7" s="54" t="s">
        <v>151</v>
      </c>
      <c r="B7" s="54">
        <v>15000</v>
      </c>
      <c r="D7" s="56"/>
      <c r="E7" s="56"/>
    </row>
    <row r="8" spans="1:8" ht="15.6" thickBot="1" x14ac:dyDescent="0.35">
      <c r="A8" s="55" t="s">
        <v>152</v>
      </c>
      <c r="B8" s="54">
        <v>24558</v>
      </c>
      <c r="D8" s="56"/>
      <c r="E8" s="56"/>
    </row>
    <row r="9" spans="1:8" ht="15.6" thickBot="1" x14ac:dyDescent="0.35">
      <c r="A9" s="55" t="s">
        <v>153</v>
      </c>
      <c r="B9" s="54">
        <v>13132</v>
      </c>
      <c r="D9" s="56"/>
      <c r="E9" s="58"/>
      <c r="F9" s="59"/>
    </row>
    <row r="10" spans="1:8" ht="18.600000000000001" thickBot="1" x14ac:dyDescent="0.4">
      <c r="A10" s="55" t="s">
        <v>154</v>
      </c>
      <c r="B10" s="54">
        <v>20667</v>
      </c>
      <c r="D10" s="56"/>
      <c r="E10" s="60" t="s">
        <v>165</v>
      </c>
      <c r="F10" s="61">
        <v>15</v>
      </c>
    </row>
    <row r="11" spans="1:8" ht="18.600000000000001" thickBot="1" x14ac:dyDescent="0.4">
      <c r="A11" s="55" t="s">
        <v>155</v>
      </c>
      <c r="B11" s="54">
        <v>16443</v>
      </c>
      <c r="D11" s="56"/>
      <c r="E11" s="60" t="s">
        <v>166</v>
      </c>
      <c r="F11" s="61">
        <v>2</v>
      </c>
    </row>
    <row r="12" spans="1:8" ht="15.6" thickBot="1" x14ac:dyDescent="0.35">
      <c r="A12" s="55" t="s">
        <v>156</v>
      </c>
      <c r="B12" s="54">
        <v>9165</v>
      </c>
      <c r="D12" s="56"/>
      <c r="E12" s="58"/>
      <c r="F12" s="59"/>
    </row>
    <row r="13" spans="1:8" ht="15.6" thickBot="1" x14ac:dyDescent="0.35">
      <c r="A13" s="55" t="s">
        <v>157</v>
      </c>
      <c r="B13" s="54">
        <v>24871</v>
      </c>
      <c r="D13" s="56"/>
      <c r="E13" s="56"/>
    </row>
    <row r="14" spans="1:8" ht="15.6" thickBot="1" x14ac:dyDescent="0.35">
      <c r="A14" s="55" t="s">
        <v>158</v>
      </c>
      <c r="B14" s="54">
        <v>28462</v>
      </c>
      <c r="D14" s="56"/>
      <c r="E14" s="56"/>
    </row>
    <row r="15" spans="1:8" ht="15.6" thickBot="1" x14ac:dyDescent="0.35">
      <c r="A15" s="55" t="s">
        <v>159</v>
      </c>
      <c r="B15" s="54">
        <v>27595</v>
      </c>
      <c r="D15" s="56"/>
      <c r="E15" s="56"/>
    </row>
    <row r="16" spans="1:8" ht="15.6" thickBot="1" x14ac:dyDescent="0.35">
      <c r="A16" s="55" t="s">
        <v>160</v>
      </c>
      <c r="B16" s="54">
        <v>24957</v>
      </c>
      <c r="D16" s="56"/>
      <c r="E16" s="56"/>
    </row>
    <row r="17" spans="1:5" ht="15.6" thickBot="1" x14ac:dyDescent="0.35">
      <c r="A17" s="55" t="s">
        <v>161</v>
      </c>
      <c r="B17" s="54">
        <v>15122</v>
      </c>
      <c r="D17" s="56"/>
      <c r="E17" s="56"/>
    </row>
    <row r="18" spans="1:5" ht="15.6" thickBot="1" x14ac:dyDescent="0.35">
      <c r="A18" s="55" t="s">
        <v>162</v>
      </c>
      <c r="B18" s="54">
        <v>10624</v>
      </c>
      <c r="D18" s="56"/>
      <c r="E18" s="56"/>
    </row>
    <row r="19" spans="1:5" ht="15.6" thickBot="1" x14ac:dyDescent="0.35">
      <c r="A19" s="55" t="s">
        <v>163</v>
      </c>
      <c r="B19" s="54">
        <v>23315</v>
      </c>
      <c r="D19" s="56"/>
      <c r="E19" s="56"/>
    </row>
    <row r="20" spans="1:5" ht="15.6" thickBot="1" x14ac:dyDescent="0.35">
      <c r="A20" s="55" t="s">
        <v>164</v>
      </c>
      <c r="B20" s="54">
        <v>16044</v>
      </c>
      <c r="D20" s="56"/>
      <c r="E20" s="56"/>
    </row>
    <row r="21" spans="1:5" x14ac:dyDescent="0.3">
      <c r="D21" s="56"/>
      <c r="E21" s="56"/>
    </row>
    <row r="22" spans="1:5" x14ac:dyDescent="0.3">
      <c r="D22" s="56"/>
      <c r="E22" s="56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18D1-A7A8-45D4-A304-CCB54E469C9E}">
  <dimension ref="A1:B20"/>
  <sheetViews>
    <sheetView workbookViewId="0">
      <selection activeCell="B2" sqref="B2:B20"/>
    </sheetView>
  </sheetViews>
  <sheetFormatPr defaultRowHeight="14.4" x14ac:dyDescent="0.3"/>
  <cols>
    <col min="1" max="1" width="14.21875" customWidth="1"/>
    <col min="9" max="9" width="10.33203125" bestFit="1" customWidth="1"/>
  </cols>
  <sheetData>
    <row r="1" spans="1:2" ht="30.6" thickBot="1" x14ac:dyDescent="0.35">
      <c r="A1" s="62" t="s">
        <v>167</v>
      </c>
      <c r="B1" s="62" t="s">
        <v>52</v>
      </c>
    </row>
    <row r="2" spans="1:2" ht="15.6" thickBot="1" x14ac:dyDescent="0.35">
      <c r="A2" s="63" t="s">
        <v>168</v>
      </c>
      <c r="B2" s="63">
        <v>22000</v>
      </c>
    </row>
    <row r="3" spans="1:2" ht="30.6" thickBot="1" x14ac:dyDescent="0.35">
      <c r="A3" s="63" t="s">
        <v>169</v>
      </c>
      <c r="B3" s="63">
        <v>3500</v>
      </c>
    </row>
    <row r="4" spans="1:2" ht="15.6" thickBot="1" x14ac:dyDescent="0.35">
      <c r="A4" s="63" t="s">
        <v>170</v>
      </c>
      <c r="B4" s="63">
        <v>58000</v>
      </c>
    </row>
    <row r="5" spans="1:2" ht="30.6" thickBot="1" x14ac:dyDescent="0.35">
      <c r="A5" s="63" t="s">
        <v>171</v>
      </c>
      <c r="B5" s="63">
        <v>1800</v>
      </c>
    </row>
    <row r="6" spans="1:2" ht="15.6" thickBot="1" x14ac:dyDescent="0.35">
      <c r="A6" s="63" t="s">
        <v>172</v>
      </c>
      <c r="B6" s="63">
        <v>12000</v>
      </c>
    </row>
    <row r="7" spans="1:2" ht="15.6" thickBot="1" x14ac:dyDescent="0.35">
      <c r="A7" s="63" t="s">
        <v>170</v>
      </c>
      <c r="B7" s="63">
        <v>10050</v>
      </c>
    </row>
    <row r="8" spans="1:2" ht="15.6" thickBot="1" x14ac:dyDescent="0.35">
      <c r="A8" s="63" t="s">
        <v>171</v>
      </c>
      <c r="B8" s="63">
        <v>17788</v>
      </c>
    </row>
    <row r="9" spans="1:2" ht="15.6" thickBot="1" x14ac:dyDescent="0.35">
      <c r="A9" s="63" t="s">
        <v>171</v>
      </c>
      <c r="B9" s="63">
        <v>41213</v>
      </c>
    </row>
    <row r="10" spans="1:2" ht="15.6" thickBot="1" x14ac:dyDescent="0.35">
      <c r="A10" s="63" t="s">
        <v>170</v>
      </c>
      <c r="B10" s="63">
        <v>53911</v>
      </c>
    </row>
    <row r="11" spans="1:2" ht="15.6" thickBot="1" x14ac:dyDescent="0.35">
      <c r="A11" s="63" t="s">
        <v>168</v>
      </c>
      <c r="B11" s="63">
        <v>56028</v>
      </c>
    </row>
    <row r="12" spans="1:2" ht="15.6" thickBot="1" x14ac:dyDescent="0.35">
      <c r="A12" s="63" t="s">
        <v>170</v>
      </c>
      <c r="B12" s="63">
        <v>47337</v>
      </c>
    </row>
    <row r="13" spans="1:2" ht="15.6" thickBot="1" x14ac:dyDescent="0.35">
      <c r="A13" s="63" t="s">
        <v>173</v>
      </c>
      <c r="B13" s="63">
        <v>25317</v>
      </c>
    </row>
    <row r="14" spans="1:2" ht="15.6" thickBot="1" x14ac:dyDescent="0.35">
      <c r="A14" s="63" t="s">
        <v>168</v>
      </c>
      <c r="B14" s="63">
        <v>12487</v>
      </c>
    </row>
    <row r="15" spans="1:2" ht="15.6" thickBot="1" x14ac:dyDescent="0.35">
      <c r="A15" s="63" t="s">
        <v>172</v>
      </c>
      <c r="B15" s="63">
        <v>4960</v>
      </c>
    </row>
    <row r="16" spans="1:2" ht="15.6" thickBot="1" x14ac:dyDescent="0.35">
      <c r="A16" s="63" t="s">
        <v>170</v>
      </c>
      <c r="B16" s="63">
        <v>51823</v>
      </c>
    </row>
    <row r="17" spans="1:2" ht="15.6" thickBot="1" x14ac:dyDescent="0.35">
      <c r="A17" s="63" t="s">
        <v>170</v>
      </c>
      <c r="B17" s="63">
        <v>27941</v>
      </c>
    </row>
    <row r="18" spans="1:2" ht="15.6" thickBot="1" x14ac:dyDescent="0.35">
      <c r="A18" s="63" t="s">
        <v>173</v>
      </c>
      <c r="B18" s="63">
        <v>47825</v>
      </c>
    </row>
    <row r="19" spans="1:2" ht="15.6" thickBot="1" x14ac:dyDescent="0.35">
      <c r="A19" s="63" t="s">
        <v>171</v>
      </c>
      <c r="B19" s="63">
        <v>26965</v>
      </c>
    </row>
    <row r="20" spans="1:2" ht="15.6" thickBot="1" x14ac:dyDescent="0.35">
      <c r="A20" s="63" t="s">
        <v>173</v>
      </c>
      <c r="B20" s="63">
        <v>43925</v>
      </c>
    </row>
  </sheetData>
  <conditionalFormatting sqref="B2">
    <cfRule type="cellIs" dxfId="13" priority="3" operator="lessThan">
      <formula>5000</formula>
    </cfRule>
  </conditionalFormatting>
  <conditionalFormatting sqref="B2:B20">
    <cfRule type="cellIs" dxfId="9" priority="2" operator="lessThan">
      <formula>5000</formula>
    </cfRule>
    <cfRule type="cellIs" dxfId="10" priority="1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E587-8CB6-4F63-957C-BBEE5CE056ED}">
  <dimension ref="A1:C20"/>
  <sheetViews>
    <sheetView workbookViewId="0">
      <selection activeCell="C2" sqref="C2:C20"/>
    </sheetView>
  </sheetViews>
  <sheetFormatPr defaultRowHeight="14.4" x14ac:dyDescent="0.3"/>
  <sheetData>
    <row r="1" spans="1:3" ht="15.6" thickBot="1" x14ac:dyDescent="0.35">
      <c r="A1" s="62" t="s">
        <v>82</v>
      </c>
      <c r="B1" s="62" t="s">
        <v>1</v>
      </c>
      <c r="C1" s="62" t="s">
        <v>174</v>
      </c>
    </row>
    <row r="2" spans="1:3" ht="15.6" thickBot="1" x14ac:dyDescent="0.35">
      <c r="A2" s="63">
        <v>1</v>
      </c>
      <c r="B2" s="63" t="s">
        <v>129</v>
      </c>
      <c r="C2" s="63">
        <v>85</v>
      </c>
    </row>
    <row r="3" spans="1:3" ht="15.6" thickBot="1" x14ac:dyDescent="0.35">
      <c r="A3" s="63">
        <v>2</v>
      </c>
      <c r="B3" s="63" t="s">
        <v>175</v>
      </c>
      <c r="C3" s="63">
        <v>72</v>
      </c>
    </row>
    <row r="4" spans="1:3" ht="15.6" thickBot="1" x14ac:dyDescent="0.35">
      <c r="A4" s="63">
        <v>3</v>
      </c>
      <c r="B4" s="63" t="s">
        <v>176</v>
      </c>
      <c r="C4" s="63">
        <v>39</v>
      </c>
    </row>
    <row r="5" spans="1:3" ht="15.6" thickBot="1" x14ac:dyDescent="0.35">
      <c r="A5" s="63">
        <v>4</v>
      </c>
      <c r="B5" s="63" t="s">
        <v>177</v>
      </c>
      <c r="C5" s="63">
        <v>91</v>
      </c>
    </row>
    <row r="6" spans="1:3" ht="15.6" thickBot="1" x14ac:dyDescent="0.35">
      <c r="A6" s="63">
        <v>5</v>
      </c>
      <c r="B6" s="63" t="s">
        <v>178</v>
      </c>
      <c r="C6" s="63">
        <v>28</v>
      </c>
    </row>
    <row r="7" spans="1:3" ht="15.6" thickBot="1" x14ac:dyDescent="0.35">
      <c r="A7" s="63">
        <v>6</v>
      </c>
      <c r="B7" s="63" t="s">
        <v>176</v>
      </c>
      <c r="C7" s="63">
        <v>30</v>
      </c>
    </row>
    <row r="8" spans="1:3" ht="15.6" thickBot="1" x14ac:dyDescent="0.35">
      <c r="A8" s="63">
        <v>7</v>
      </c>
      <c r="B8" s="63" t="s">
        <v>129</v>
      </c>
      <c r="C8" s="63">
        <v>40</v>
      </c>
    </row>
    <row r="9" spans="1:3" ht="15.6" thickBot="1" x14ac:dyDescent="0.35">
      <c r="A9" s="63">
        <v>8</v>
      </c>
      <c r="B9" s="63" t="s">
        <v>176</v>
      </c>
      <c r="C9" s="63">
        <v>46</v>
      </c>
    </row>
    <row r="10" spans="1:3" ht="15.6" thickBot="1" x14ac:dyDescent="0.35">
      <c r="A10" s="63">
        <v>9</v>
      </c>
      <c r="B10" s="63" t="s">
        <v>177</v>
      </c>
      <c r="C10" s="63">
        <v>73</v>
      </c>
    </row>
    <row r="11" spans="1:3" ht="15.6" thickBot="1" x14ac:dyDescent="0.35">
      <c r="A11" s="63">
        <v>10</v>
      </c>
      <c r="B11" s="63" t="s">
        <v>175</v>
      </c>
      <c r="C11" s="63">
        <v>100</v>
      </c>
    </row>
    <row r="12" spans="1:3" ht="15.6" thickBot="1" x14ac:dyDescent="0.35">
      <c r="A12" s="63">
        <v>11</v>
      </c>
      <c r="B12" s="63" t="s">
        <v>176</v>
      </c>
      <c r="C12" s="63">
        <v>78</v>
      </c>
    </row>
    <row r="13" spans="1:3" ht="15.6" thickBot="1" x14ac:dyDescent="0.35">
      <c r="A13" s="63">
        <v>12</v>
      </c>
      <c r="B13" s="63" t="s">
        <v>175</v>
      </c>
      <c r="C13" s="63">
        <v>88</v>
      </c>
    </row>
    <row r="14" spans="1:3" ht="15.6" thickBot="1" x14ac:dyDescent="0.35">
      <c r="A14" s="63">
        <v>13</v>
      </c>
      <c r="B14" s="63" t="s">
        <v>175</v>
      </c>
      <c r="C14" s="63">
        <v>58</v>
      </c>
    </row>
    <row r="15" spans="1:3" ht="15.6" thickBot="1" x14ac:dyDescent="0.35">
      <c r="A15" s="63">
        <v>14</v>
      </c>
      <c r="B15" s="63" t="s">
        <v>176</v>
      </c>
      <c r="C15" s="63">
        <v>56</v>
      </c>
    </row>
    <row r="16" spans="1:3" ht="15.6" thickBot="1" x14ac:dyDescent="0.35">
      <c r="A16" s="63">
        <v>15</v>
      </c>
      <c r="B16" s="63" t="s">
        <v>129</v>
      </c>
      <c r="C16" s="63">
        <v>67</v>
      </c>
    </row>
    <row r="17" spans="1:3" ht="15.6" thickBot="1" x14ac:dyDescent="0.35">
      <c r="A17" s="63">
        <v>16</v>
      </c>
      <c r="B17" s="63" t="s">
        <v>129</v>
      </c>
      <c r="C17" s="63">
        <v>59</v>
      </c>
    </row>
    <row r="18" spans="1:3" ht="15.6" thickBot="1" x14ac:dyDescent="0.35">
      <c r="A18" s="63">
        <v>17</v>
      </c>
      <c r="B18" s="63" t="s">
        <v>178</v>
      </c>
      <c r="C18" s="63">
        <v>74</v>
      </c>
    </row>
    <row r="19" spans="1:3" ht="15.6" thickBot="1" x14ac:dyDescent="0.35">
      <c r="A19" s="63">
        <v>18</v>
      </c>
      <c r="B19" s="63" t="s">
        <v>178</v>
      </c>
      <c r="C19" s="63">
        <v>42</v>
      </c>
    </row>
    <row r="20" spans="1:3" ht="15.6" thickBot="1" x14ac:dyDescent="0.35">
      <c r="A20" s="63">
        <v>19</v>
      </c>
      <c r="B20" s="63" t="s">
        <v>175</v>
      </c>
      <c r="C20" s="63">
        <v>95</v>
      </c>
    </row>
  </sheetData>
  <conditionalFormatting sqref="C2:C20">
    <cfRule type="cellIs" dxfId="6" priority="2" operator="greaterThan">
      <formula>74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FF77-A2FB-4D43-8D15-AB4CCC40167F}">
  <dimension ref="A1:B20"/>
  <sheetViews>
    <sheetView tabSelected="1" workbookViewId="0">
      <selection activeCell="D6" sqref="D6:F9"/>
    </sheetView>
  </sheetViews>
  <sheetFormatPr defaultRowHeight="14.4" x14ac:dyDescent="0.3"/>
  <sheetData>
    <row r="1" spans="1:2" ht="45.6" thickBot="1" x14ac:dyDescent="0.35">
      <c r="A1" s="62" t="s">
        <v>124</v>
      </c>
      <c r="B1" s="62" t="s">
        <v>3</v>
      </c>
    </row>
    <row r="2" spans="1:2" ht="15.6" thickBot="1" x14ac:dyDescent="0.35">
      <c r="A2" s="63" t="s">
        <v>179</v>
      </c>
      <c r="B2" s="63">
        <v>28000</v>
      </c>
    </row>
    <row r="3" spans="1:2" ht="15.6" thickBot="1" x14ac:dyDescent="0.35">
      <c r="A3" s="63" t="s">
        <v>180</v>
      </c>
      <c r="B3" s="63">
        <v>34000</v>
      </c>
    </row>
    <row r="4" spans="1:2" ht="15.6" thickBot="1" x14ac:dyDescent="0.35">
      <c r="A4" s="63" t="s">
        <v>181</v>
      </c>
      <c r="B4" s="63">
        <v>51000</v>
      </c>
    </row>
    <row r="5" spans="1:2" ht="15.6" thickBot="1" x14ac:dyDescent="0.35">
      <c r="A5" s="63" t="s">
        <v>182</v>
      </c>
      <c r="B5" s="63">
        <v>47000</v>
      </c>
    </row>
    <row r="6" spans="1:2" ht="15.6" thickBot="1" x14ac:dyDescent="0.35">
      <c r="A6" s="63" t="s">
        <v>183</v>
      </c>
      <c r="B6" s="63">
        <v>29000</v>
      </c>
    </row>
    <row r="7" spans="1:2" ht="15.6" thickBot="1" x14ac:dyDescent="0.35">
      <c r="A7" s="63" t="s">
        <v>179</v>
      </c>
      <c r="B7" s="63">
        <v>39969</v>
      </c>
    </row>
    <row r="8" spans="1:2" ht="15.6" thickBot="1" x14ac:dyDescent="0.35">
      <c r="A8" s="63" t="s">
        <v>183</v>
      </c>
      <c r="B8" s="63">
        <v>30383</v>
      </c>
    </row>
    <row r="9" spans="1:2" ht="15.6" thickBot="1" x14ac:dyDescent="0.35">
      <c r="A9" s="63" t="s">
        <v>179</v>
      </c>
      <c r="B9" s="63">
        <v>57522</v>
      </c>
    </row>
    <row r="10" spans="1:2" ht="15.6" thickBot="1" x14ac:dyDescent="0.35">
      <c r="A10" s="63" t="s">
        <v>180</v>
      </c>
      <c r="B10" s="63">
        <v>32006</v>
      </c>
    </row>
    <row r="11" spans="1:2" ht="15.6" thickBot="1" x14ac:dyDescent="0.35">
      <c r="A11" s="63" t="s">
        <v>181</v>
      </c>
      <c r="B11" s="63">
        <v>39627</v>
      </c>
    </row>
    <row r="12" spans="1:2" ht="15.6" thickBot="1" x14ac:dyDescent="0.35">
      <c r="A12" s="63" t="s">
        <v>180</v>
      </c>
      <c r="B12" s="63">
        <v>46844</v>
      </c>
    </row>
    <row r="13" spans="1:2" ht="15.6" thickBot="1" x14ac:dyDescent="0.35">
      <c r="A13" s="63" t="s">
        <v>182</v>
      </c>
      <c r="B13" s="63">
        <v>59360</v>
      </c>
    </row>
    <row r="14" spans="1:2" ht="15.6" thickBot="1" x14ac:dyDescent="0.35">
      <c r="A14" s="63" t="s">
        <v>183</v>
      </c>
      <c r="B14" s="63">
        <v>55781</v>
      </c>
    </row>
    <row r="15" spans="1:2" ht="15.6" thickBot="1" x14ac:dyDescent="0.35">
      <c r="A15" s="63" t="s">
        <v>183</v>
      </c>
      <c r="B15" s="63">
        <v>37900</v>
      </c>
    </row>
    <row r="16" spans="1:2" ht="15.6" thickBot="1" x14ac:dyDescent="0.35">
      <c r="A16" s="63" t="s">
        <v>183</v>
      </c>
      <c r="B16" s="63">
        <v>35411</v>
      </c>
    </row>
    <row r="17" spans="1:2" ht="15.6" thickBot="1" x14ac:dyDescent="0.35">
      <c r="A17" s="63" t="s">
        <v>180</v>
      </c>
      <c r="B17" s="63">
        <v>43425</v>
      </c>
    </row>
    <row r="18" spans="1:2" ht="15.6" thickBot="1" x14ac:dyDescent="0.35">
      <c r="A18" s="63" t="s">
        <v>181</v>
      </c>
      <c r="B18" s="63">
        <v>41268</v>
      </c>
    </row>
    <row r="19" spans="1:2" ht="15.6" thickBot="1" x14ac:dyDescent="0.35">
      <c r="A19" s="63" t="s">
        <v>181</v>
      </c>
      <c r="B19" s="63">
        <v>39102</v>
      </c>
    </row>
    <row r="20" spans="1:2" ht="15.6" thickBot="1" x14ac:dyDescent="0.35">
      <c r="A20" s="63" t="s">
        <v>181</v>
      </c>
      <c r="B20" s="63">
        <v>43367</v>
      </c>
    </row>
  </sheetData>
  <conditionalFormatting sqref="B2:B20">
    <cfRule type="cellIs" dxfId="0" priority="3" operator="greaterThan">
      <formula>50000</formula>
    </cfRule>
    <cfRule type="cellIs" dxfId="1" priority="2" operator="between">
      <formula>30000</formula>
      <formula>50000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vishwakarma ravindra</cp:lastModifiedBy>
  <dcterms:created xsi:type="dcterms:W3CDTF">2026-01-24T14:22:41Z</dcterms:created>
  <dcterms:modified xsi:type="dcterms:W3CDTF">2026-01-25T17:42:17Z</dcterms:modified>
</cp:coreProperties>
</file>
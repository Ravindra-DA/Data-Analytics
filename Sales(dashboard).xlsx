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DMIN\Desktop\github\"/>
    </mc:Choice>
  </mc:AlternateContent>
  <xr:revisionPtr revIDLastSave="0" documentId="8_{92FD4836-A5A6-476C-A51D-74FFB7C63356}" xr6:coauthVersionLast="47" xr6:coauthVersionMax="47" xr10:uidLastSave="{00000000-0000-0000-0000-000000000000}"/>
  <bookViews>
    <workbookView xWindow="-108" yWindow="-108" windowWidth="23256" windowHeight="12456" xr2:uid="{C8F91787-E5B3-4838-9949-C5FA6D88B2C7}"/>
  </bookViews>
  <sheets>
    <sheet name="Dashboard" sheetId="1" r:id="rId1"/>
    <sheet name="sales_data_large (2)" sheetId="2" r:id="rId2"/>
    <sheet name="Sheet3" sheetId="4" r:id="rId3"/>
  </sheets>
  <definedNames>
    <definedName name="ExternalData_1" localSheetId="1" hidden="1">'sales_data_large (2)'!$A$1:$J$301</definedName>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0" i="4" l="1"/>
  <c r="H28" i="4"/>
  <c r="L1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AF477E-0AB6-4FDD-B29F-2923AE14A2CC}" keepAlive="1" name="Query - sales_data_large (2)" description="Connection to the 'sales_data_large (2)' query in the workbook." type="5" refreshedVersion="8" background="1" saveData="1">
    <dbPr connection="Provider=Microsoft.Mashup.OleDb.1;Data Source=$Workbook$;Location=&quot;sales_data_large (2)&quot;;Extended Properties=&quot;&quot;" command="SELECT * FROM [sales_data_large (2)]"/>
  </connection>
</connections>
</file>

<file path=xl/sharedStrings.xml><?xml version="1.0" encoding="utf-8"?>
<sst xmlns="http://schemas.openxmlformats.org/spreadsheetml/2006/main" count="1266" uniqueCount="54">
  <si>
    <t>OrderID</t>
  </si>
  <si>
    <t>Customer</t>
  </si>
  <si>
    <t>Region</t>
  </si>
  <si>
    <t>Category</t>
  </si>
  <si>
    <t>Product</t>
  </si>
  <si>
    <t>Quantity</t>
  </si>
  <si>
    <t>Sales</t>
  </si>
  <si>
    <t>Date</t>
  </si>
  <si>
    <t>Total</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</si>
  <si>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</si>
  <si>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</si>
  <si>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</si>
  <si>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</si>
  <si>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</si>
  <si>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</si>
  <si>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</si>
  <si>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</si>
  <si>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</si>
  <si>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</si>
  <si>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</si>
  <si>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</si>
  <si>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</si>
  <si>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</si>
  <si>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</si>
  <si>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</si>
  <si>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</si>
  <si>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</si>
  <si>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</si>
  <si>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</si>
  <si>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</si>
  <si>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</si>
  <si>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</si>
  <si>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</si>
  <si>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</si>
  <si>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</si>
  <si>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</si>
  <si>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Sum of Sales</t>
  </si>
  <si>
    <t>Row Labels</t>
  </si>
  <si>
    <t>Grand Total</t>
  </si>
  <si>
    <t>Jan</t>
  </si>
  <si>
    <t>Feb</t>
  </si>
  <si>
    <t>Mar</t>
  </si>
  <si>
    <t>Apr</t>
  </si>
  <si>
    <t>May</t>
  </si>
  <si>
    <t>Jun</t>
  </si>
  <si>
    <t>Jul</t>
  </si>
  <si>
    <t>Aug</t>
  </si>
  <si>
    <t>Sep</t>
  </si>
  <si>
    <t>Oct</t>
  </si>
  <si>
    <t>Total Sales by Month</t>
  </si>
  <si>
    <t>Sum of Profit</t>
  </si>
  <si>
    <t>TOTAL</t>
  </si>
  <si>
    <t>SALES</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</si>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</sst>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k&quot;"/>
    <numFmt numFmtId="165" formatCode="0.0,&quot;K&quot;"/>
  </numFmts>
  <fonts count="1" x14ac:knownFonts="1">
    <font>
      <sz val="11"/>
      <color theme="1"/>
      <name val="Calibri"/>
      <family val="2"/>
      <scheme val="minor"/>
    </font>
  </fonts>
  <fills count="2">
    <fill>
      <patternFill patternType="none"/>
    </fill>
    <fill>
      <patternFill patternType="gray125"/>
    </fill>
  </fills>
  <borders count="1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23">
    <xf numFmtId="0" fontId="0" fillId="0" borderId="0" xfId="0"/>
    <xf numFmtId="14" fontId="0" fillId="0" borderId="0" xfId="0" applyNumberFormat="1"/>
    <xf numFmtId="0" fontId="0" fillId="0" borderId="4" xfId="0" applyBorder="1"/>
    <xf numFmtId="0" fontId="0" fillId="0" borderId="5" xfId="0" applyBorder="1"/>
    <xf numFmtId="0" fontId="0" fillId="0" borderId="6" xfId="0" applyBorder="1" applyAlignment="1">
      <alignment horizontal="left"/>
    </xf>
    <xf numFmtId="164" fontId="0" fillId="0" borderId="0" xfId="0" applyNumberFormat="1"/>
    <xf numFmtId="0" fontId="0" fillId="0" borderId="7" xfId="0" applyBorder="1"/>
    <xf numFmtId="0" fontId="0" fillId="0" borderId="6" xfId="0" applyBorder="1"/>
    <xf numFmtId="0" fontId="0" fillId="0" borderId="8" xfId="0" applyBorder="1"/>
    <xf numFmtId="0" fontId="0" fillId="0" borderId="9" xfId="0" applyBorder="1"/>
    <xf numFmtId="0" fontId="0" fillId="0" borderId="10" xfId="0" applyBorder="1"/>
    <xf numFmtId="0" fontId="0" fillId="0" borderId="11" xfId="0" pivotButton="1" applyBorder="1"/>
    <xf numFmtId="0" fontId="0" fillId="0" borderId="12" xfId="0" applyBorder="1" applyAlignment="1">
      <alignment horizontal="left"/>
    </xf>
    <xf numFmtId="0" fontId="0" fillId="0" borderId="11" xfId="0" applyBorder="1" applyAlignment="1">
      <alignment horizontal="left"/>
    </xf>
    <xf numFmtId="164" fontId="0" fillId="0" borderId="12" xfId="0" applyNumberFormat="1" applyBorder="1"/>
    <xf numFmtId="0" fontId="0" fillId="0" borderId="11" xfId="0" applyBorder="1"/>
    <xf numFmtId="0" fontId="0" fillId="0" borderId="6" xfId="0" pivotButton="1" applyBorder="1"/>
    <xf numFmtId="165" fontId="0" fillId="0" borderId="12" xfId="0" applyNumberFormat="1" applyBorder="1"/>
    <xf numFmtId="165" fontId="0" fillId="0" borderId="11" xfId="0" applyNumberFormat="1" applyBorder="1"/>
    <xf numFmtId="164" fontId="0" fillId="0" borderId="11" xfId="0" applyNumberFormat="1"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cellXfs>
  <cellStyles count="1">
    <cellStyle name="Normal" xfId="0" builtinId="0"/>
  </cellStyles>
  <dxfs count="50">
    <dxf>
      <numFmt numFmtId="165"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0,&quot;k&quot;"/>
    </dxf>
    <dxf>
      <numFmt numFmtId="164" formatCode="0.00,&quot;k&quot;"/>
    </dxf>
    <dxf>
      <numFmt numFmtId="164" formatCode="0.00,&quot;k&quot;"/>
    </dxf>
    <dxf>
      <numFmt numFmtId="164" formatCode="0.00,&quot;k&quot;"/>
    </dxf>
    <dxf>
      <numFmt numFmtId="164" formatCode="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0.00,&quot;k&quot;"/>
    </dxf>
    <dxf>
      <numFmt numFmtId="164" formatCode="0.00,&quot;k&quot;"/>
    </dxf>
    <dxf>
      <numFmt numFmtId="164" formatCode="0.00,&quot;k&quot;"/>
    </dxf>
    <dxf>
      <numFmt numFmtId="164" formatCode="0.00,&quot;k&quot;"/>
    </dxf>
    <dxf>
      <numFmt numFmtId="165"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[Sales(dashboard).xlsx]Sheet3!PivotTable1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122439718399688E-2"/>
          <c:y val="6.3109323901357248E-2"/>
          <c:w val="0.93699885452462772"/>
          <c:h val="0.8037965133876338"/>
        </c:manualLayout>
      </c:layout>
      <c:barChart>
        <c:barDir val="col"/>
        <c:grouping val="clustered"/>
        <c:varyColors val="0"/>
        <c:ser>
          <c:idx val="0"/>
          <c:order val="0"/>
          <c:tx>
            <c:strRef>
              <c:f>Sheet3!$B$3</c:f>
              <c:strCache>
                <c:ptCount val="1"/>
                <c:pt idx="0">
                  <c:v>Total</c:v>
                </c:pt>
              </c:strCache>
            </c:strRef>
          </c:tx>
          <c:spPr>
            <a:solidFill>
              <a:schemeClr val="accent1">
                <a:lumMod val="75000"/>
              </a:schemeClr>
            </a:solidFill>
            <a:ln>
              <a:noFill/>
            </a:ln>
            <a:effectLst/>
          </c:spPr>
          <c:invertIfNegative val="0"/>
          <c:cat>
            <c:strRef>
              <c:f>Sheet3!$A$4:$A$14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Sheet3!$B$4:$B$14</c:f>
              <c:numCache>
                <c:formatCode>0.00,"k"</c:formatCode>
                <c:ptCount val="10"/>
                <c:pt idx="0">
                  <c:v>634304</c:v>
                </c:pt>
                <c:pt idx="1">
                  <c:v>528643</c:v>
                </c:pt>
                <c:pt idx="2">
                  <c:v>570400</c:v>
                </c:pt>
                <c:pt idx="3">
                  <c:v>479652</c:v>
                </c:pt>
                <c:pt idx="4">
                  <c:v>631283</c:v>
                </c:pt>
                <c:pt idx="5">
                  <c:v>596878</c:v>
                </c:pt>
                <c:pt idx="6">
                  <c:v>783782</c:v>
                </c:pt>
                <c:pt idx="7">
                  <c:v>673752</c:v>
                </c:pt>
                <c:pt idx="8">
                  <c:v>656485</c:v>
                </c:pt>
                <c:pt idx="9">
                  <c:v>520750</c:v>
                </c:pt>
              </c:numCache>
            </c:numRef>
          </c:val>
          <c:extLst>
            <c:ext xmlns:c16="http://schemas.microsoft.com/office/drawing/2014/chart" uri="{C3380CC4-5D6E-409C-BE32-E72D297353CC}">
              <c16:uniqueId val="{00000000-E0EB-4509-AA4D-A6B8595DBCCC}"/>
            </c:ext>
          </c:extLst>
        </c:ser>
        <c:dLbls>
          <c:showLegendKey val="0"/>
          <c:showVal val="0"/>
          <c:showCatName val="0"/>
          <c:showSerName val="0"/>
          <c:showPercent val="0"/>
          <c:showBubbleSize val="0"/>
        </c:dLbls>
        <c:gapWidth val="219"/>
        <c:overlap val="-27"/>
        <c:axId val="876692751"/>
        <c:axId val="876693711"/>
      </c:barChart>
      <c:catAx>
        <c:axId val="87669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6693711"/>
        <c:crosses val="autoZero"/>
        <c:auto val="1"/>
        <c:lblAlgn val="ctr"/>
        <c:lblOffset val="100"/>
        <c:noMultiLvlLbl val="0"/>
      </c:catAx>
      <c:valAx>
        <c:axId val="876693711"/>
        <c:scaling>
          <c:orientation val="minMax"/>
        </c:scaling>
        <c:delete val="0"/>
        <c:axPos val="l"/>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669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[Sales(dashboard).xlsx]Sheet3!PivotTable2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Sheet3!$B$19</c:f>
              <c:strCache>
                <c:ptCount val="1"/>
                <c:pt idx="0">
                  <c:v>Total</c:v>
                </c:pt>
              </c:strCache>
            </c:strRef>
          </c:tx>
          <c:spPr>
            <a:solidFill>
              <a:schemeClr val="accent6">
                <a:lumMod val="75000"/>
              </a:schemeClr>
            </a:solidFill>
            <a:ln>
              <a:noFill/>
            </a:ln>
            <a:effectLst/>
          </c:spPr>
          <c:invertIfNegative val="0"/>
          <c:cat>
            <c:strRef>
              <c:f>Sheet3!$A$20:$A$30</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Sheet3!$B$20:$B$30</c:f>
              <c:numCache>
                <c:formatCode>0.00,"k"</c:formatCode>
                <c:ptCount val="10"/>
                <c:pt idx="0">
                  <c:v>126860.80000000003</c:v>
                </c:pt>
                <c:pt idx="1">
                  <c:v>105728.60000000002</c:v>
                </c:pt>
                <c:pt idx="2">
                  <c:v>114080.00000000001</c:v>
                </c:pt>
                <c:pt idx="3">
                  <c:v>95930.400000000009</c:v>
                </c:pt>
                <c:pt idx="4">
                  <c:v>126256.6</c:v>
                </c:pt>
                <c:pt idx="5">
                  <c:v>119375.6</c:v>
                </c:pt>
                <c:pt idx="6">
                  <c:v>156756.40000000002</c:v>
                </c:pt>
                <c:pt idx="7">
                  <c:v>134750.40000000002</c:v>
                </c:pt>
                <c:pt idx="8">
                  <c:v>131297</c:v>
                </c:pt>
                <c:pt idx="9">
                  <c:v>104150.00000000001</c:v>
                </c:pt>
              </c:numCache>
            </c:numRef>
          </c:val>
          <c:extLst>
            <c:ext xmlns:c16="http://schemas.microsoft.com/office/drawing/2014/chart" uri="{C3380CC4-5D6E-409C-BE32-E72D297353CC}">
              <c16:uniqueId val="{00000000-571B-4497-A381-B873F23D9D65}"/>
            </c:ext>
          </c:extLst>
        </c:ser>
        <c:dLbls>
          <c:showLegendKey val="0"/>
          <c:showVal val="0"/>
          <c:showCatName val="0"/>
          <c:showSerName val="0"/>
          <c:showPercent val="0"/>
          <c:showBubbleSize val="0"/>
        </c:dLbls>
        <c:gapWidth val="150"/>
        <c:overlap val="100"/>
        <c:axId val="1639023952"/>
        <c:axId val="1639012432"/>
      </c:barChart>
      <c:catAx>
        <c:axId val="163902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9012432"/>
        <c:crosses val="autoZero"/>
        <c:auto val="1"/>
        <c:lblAlgn val="ctr"/>
        <c:lblOffset val="100"/>
        <c:noMultiLvlLbl val="0"/>
      </c:catAx>
      <c:valAx>
        <c:axId val="1639012432"/>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902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[Sales(dashboard).xlsx]Sheet3!PivotTable3</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7412553822928994E-3"/>
              <c:y val="-8.34317585301837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0531281629012059E-2"/>
              <c:y val="2.03767497812773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8123681534444703E-2"/>
              <c:y val="-1.6094192536042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1.8306872180193161E-2"/>
              <c:y val="2.51356080489938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61-451C-9826-7B2DABAF6E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61-451C-9826-7B2DABAF6E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61-451C-9826-7B2DABAF6E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61-451C-9826-7B2DABAF6EE6}"/>
              </c:ext>
            </c:extLst>
          </c:dPt>
          <c:dLbls>
            <c:dLbl>
              <c:idx val="0"/>
              <c:layout>
                <c:manualLayout>
                  <c:x val="-1.0531281629012059E-2"/>
                  <c:y val="2.03767497812773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61-451C-9826-7B2DABAF6EE6}"/>
                </c:ext>
              </c:extLst>
            </c:dLbl>
            <c:dLbl>
              <c:idx val="1"/>
              <c:layout>
                <c:manualLayout>
                  <c:x val="-3.8123681534444703E-2"/>
                  <c:y val="-1.60941925360427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61-451C-9826-7B2DABAF6EE6}"/>
                </c:ext>
              </c:extLst>
            </c:dLbl>
            <c:dLbl>
              <c:idx val="2"/>
              <c:layout>
                <c:manualLayout>
                  <c:x val="-1.8306872180193161E-2"/>
                  <c:y val="2.513560804899387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161-451C-9826-7B2DABAF6EE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Sheet3!$A$34:$A$37</c:f>
              <c:strCache>
                <c:ptCount val="3"/>
                <c:pt idx="0">
                  <c:v>North</c:v>
                </c:pt>
                <c:pt idx="1">
                  <c:v>South</c:v>
                </c:pt>
                <c:pt idx="2">
                  <c:v>West</c:v>
                </c:pt>
              </c:strCache>
            </c:strRef>
          </c:cat>
          <c:val>
            <c:numRef>
              <c:f>Sheet3!$B$34:$B$37</c:f>
              <c:numCache>
                <c:formatCode>0.0,"K"</c:formatCode>
                <c:ptCount val="3"/>
                <c:pt idx="0">
                  <c:v>415591.39999999997</c:v>
                </c:pt>
                <c:pt idx="1">
                  <c:v>369859.4</c:v>
                </c:pt>
                <c:pt idx="2">
                  <c:v>429735.00000000006</c:v>
                </c:pt>
              </c:numCache>
            </c:numRef>
          </c:val>
          <c:extLst>
            <c:ext xmlns:c16="http://schemas.microsoft.com/office/drawing/2014/chart" uri="{C3380CC4-5D6E-409C-BE32-E72D297353CC}">
              <c16:uniqueId val="{00000008-F161-451C-9826-7B2DABAF6EE6}"/>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[Sales(dashboard).xlsx]Sheet3!PivotTable4</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3.1760336150641721E-2"/>
              <c:y val="-4.45979088679488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3847552312841628E-2"/>
              <c:y val="3.60851751454565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1.2275307616364467E-2"/>
              <c:y val="5.77647739387767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3.7650045751161841E-2"/>
              <c:y val="-6.03985294187953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3847552312841628E-2"/>
              <c:y val="3.60851751454565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1760336150641721E-2"/>
              <c:y val="-4.45979088679488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3.7650045751161841E-2"/>
              <c:y val="-6.03985294187953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2275307616364467E-2"/>
              <c:y val="5.77647739387767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1.3847552312841628E-2"/>
              <c:y val="3.60851751454565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3.1760336150641721E-2"/>
              <c:y val="-4.45979088679488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0459825390052832E-2"/>
              <c:y val="-2.42997720386340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1.2275307616364467E-2"/>
              <c:y val="5.77647739387767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0D-49CE-B2FC-878ACC2FBE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0D-49CE-B2FC-878ACC2FBE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0D-49CE-B2FC-878ACC2FBE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0D-49CE-B2FC-878ACC2FBEFC}"/>
              </c:ext>
            </c:extLst>
          </c:dPt>
          <c:dLbls>
            <c:dLbl>
              <c:idx val="0"/>
              <c:layout>
                <c:manualLayout>
                  <c:x val="3.1760336150641721E-2"/>
                  <c:y val="-4.459790886794888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0D-49CE-B2FC-878ACC2FBEFC}"/>
                </c:ext>
              </c:extLst>
            </c:dLbl>
            <c:dLbl>
              <c:idx val="1"/>
              <c:layout>
                <c:manualLayout>
                  <c:x val="-6.0459825390052832E-2"/>
                  <c:y val="-2.42997720386340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0D-49CE-B2FC-878ACC2FBEFC}"/>
                </c:ext>
              </c:extLst>
            </c:dLbl>
            <c:dLbl>
              <c:idx val="2"/>
              <c:layout>
                <c:manualLayout>
                  <c:x val="-1.2275307616364467E-2"/>
                  <c:y val="5.776477393877677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0D-49CE-B2FC-878ACC2FBEF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Sheet3!$A$45:$A$48</c:f>
              <c:strCache>
                <c:ptCount val="3"/>
                <c:pt idx="0">
                  <c:v>North</c:v>
                </c:pt>
                <c:pt idx="1">
                  <c:v>South</c:v>
                </c:pt>
                <c:pt idx="2">
                  <c:v>West</c:v>
                </c:pt>
              </c:strCache>
            </c:strRef>
          </c:cat>
          <c:val>
            <c:numRef>
              <c:f>Sheet3!$B$45:$B$48</c:f>
              <c:numCache>
                <c:formatCode>0.0,"K"</c:formatCode>
                <c:ptCount val="3"/>
                <c:pt idx="0">
                  <c:v>2077957</c:v>
                </c:pt>
                <c:pt idx="1">
                  <c:v>1849297</c:v>
                </c:pt>
                <c:pt idx="2">
                  <c:v>2148675</c:v>
                </c:pt>
              </c:numCache>
            </c:numRef>
          </c:val>
          <c:extLst>
            <c:ext xmlns:c16="http://schemas.microsoft.com/office/drawing/2014/chart" uri="{C3380CC4-5D6E-409C-BE32-E72D297353CC}">
              <c16:uniqueId val="{00000008-AE0D-49CE-B2FC-878ACC2FBEF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15729171353580804"/>
          <c:y val="1.4184397163120567E-2"/>
          <c:w val="0.67589276340457438"/>
          <c:h val="0.119681688725079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[Sales(dashboard).xlsx]Sheet3!PivotTable5</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3504547886570358E-2"/>
              <c:y val="-6.45994832041344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6179775280898875E-2"/>
              <c:y val="7.75193798449612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0256821829855537E-2"/>
              <c:y val="2.58397932816537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0829320492241842E-2"/>
              <c:y val="-6.45994832041343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80375205908247"/>
          <c:y val="0.26563561822214088"/>
          <c:w val="0.30062525968037779"/>
          <c:h val="0.60358094773037096"/>
        </c:manualLayout>
      </c:layout>
      <c:doughnutChart>
        <c:varyColors val="1"/>
        <c:ser>
          <c:idx val="0"/>
          <c:order val="0"/>
          <c:tx>
            <c:strRef>
              <c:f>Sheet3!$B$57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79-4FA2-B406-9DE3F5BDC2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79-4FA2-B406-9DE3F5BDC2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79-4FA2-B406-9DE3F5BDC2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79-4FA2-B406-9DE3F5BDC2C7}"/>
              </c:ext>
            </c:extLst>
          </c:dPt>
          <c:dLbls>
            <c:dLbl>
              <c:idx val="0"/>
              <c:layout>
                <c:manualLayout>
                  <c:x val="5.3504547886570358E-2"/>
                  <c:y val="-6.45994832041344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79-4FA2-B406-9DE3F5BDC2C7}"/>
                </c:ext>
              </c:extLst>
            </c:dLbl>
            <c:dLbl>
              <c:idx val="1"/>
              <c:layout>
                <c:manualLayout>
                  <c:x val="5.6179775280898875E-2"/>
                  <c:y val="7.75193798449612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79-4FA2-B406-9DE3F5BDC2C7}"/>
                </c:ext>
              </c:extLst>
            </c:dLbl>
            <c:dLbl>
              <c:idx val="2"/>
              <c:layout>
                <c:manualLayout>
                  <c:x val="-8.0256821829855537E-2"/>
                  <c:y val="2.58397932816537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379-4FA2-B406-9DE3F5BDC2C7}"/>
                </c:ext>
              </c:extLst>
            </c:dLbl>
            <c:dLbl>
              <c:idx val="3"/>
              <c:layout>
                <c:manualLayout>
                  <c:x val="-5.0829320492241842E-2"/>
                  <c:y val="-6.45994832041343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379-4FA2-B406-9DE3F5BDC2C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Sheet3!$A$58:$A$62</c:f>
              <c:strCache>
                <c:ptCount val="4"/>
                <c:pt idx="0">
                  <c:v>Accessories</c:v>
                </c:pt>
                <c:pt idx="1">
                  <c:v>Clothing</c:v>
                </c:pt>
                <c:pt idx="2">
                  <c:v>Electronics</c:v>
                </c:pt>
                <c:pt idx="3">
                  <c:v>Home Appliances</c:v>
                </c:pt>
              </c:strCache>
            </c:strRef>
          </c:cat>
          <c:val>
            <c:numRef>
              <c:f>Sheet3!$B$58:$B$62</c:f>
              <c:numCache>
                <c:formatCode>0.0,"K"</c:formatCode>
                <c:ptCount val="4"/>
                <c:pt idx="0">
                  <c:v>250475.6</c:v>
                </c:pt>
                <c:pt idx="1">
                  <c:v>240443.59999999995</c:v>
                </c:pt>
                <c:pt idx="2">
                  <c:v>397760.20000000019</c:v>
                </c:pt>
                <c:pt idx="3">
                  <c:v>326506.39999999997</c:v>
                </c:pt>
              </c:numCache>
            </c:numRef>
          </c:val>
          <c:extLst>
            <c:ext xmlns:c16="http://schemas.microsoft.com/office/drawing/2014/chart" uri="{C3380CC4-5D6E-409C-BE32-E72D297353CC}">
              <c16:uniqueId val="{00000008-5379-4FA2-B406-9DE3F5BDC2C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6405339535260796"/>
          <c:y val="3.875968992248062E-2"/>
          <c:w val="0.70209205671559116"/>
          <c:h val="0.1109764774234840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[Sales(dashboard).xlsx]Sheet3!PivotTable6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55555555555556"/>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4444444444444553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027777777777777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6.9444444444444489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555555555555556"/>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4444444444444553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27777777777777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9444444444444489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555555555555556"/>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9.4444444444444553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27777777777777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9444444444444489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02585890484006"/>
          <c:y val="0.13528006051645292"/>
          <c:w val="0.43194828219031989"/>
          <c:h val="0.71488383821018009"/>
        </c:manualLayout>
      </c:layout>
      <c:doughnutChart>
        <c:varyColors val="1"/>
        <c:ser>
          <c:idx val="0"/>
          <c:order val="0"/>
          <c:tx>
            <c:strRef>
              <c:f>Sheet3!$B$67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01-4931-A245-C06A966C6F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01-4931-A245-C06A966C6F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01-4931-A245-C06A966C6F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01-4931-A245-C06A966C6F57}"/>
              </c:ext>
            </c:extLst>
          </c:dPt>
          <c:dLbls>
            <c:dLbl>
              <c:idx val="0"/>
              <c:layout>
                <c:manualLayout>
                  <c:x val="0.10555555555555556"/>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01-4931-A245-C06A966C6F57}"/>
                </c:ext>
              </c:extLst>
            </c:dLbl>
            <c:dLbl>
              <c:idx val="1"/>
              <c:layout>
                <c:manualLayout>
                  <c:x val="9.4444444444444553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01-4931-A245-C06A966C6F57}"/>
                </c:ext>
              </c:extLst>
            </c:dLbl>
            <c:dLbl>
              <c:idx val="2"/>
              <c:layout>
                <c:manualLayout>
                  <c:x val="-0.10277777777777777"/>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01-4931-A245-C06A966C6F57}"/>
                </c:ext>
              </c:extLst>
            </c:dLbl>
            <c:dLbl>
              <c:idx val="3"/>
              <c:layout>
                <c:manualLayout>
                  <c:x val="-6.9444444444444489E-2"/>
                  <c:y val="-7.870370370370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801-4931-A245-C06A966C6F5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Sheet3!$A$68:$A$72</c:f>
              <c:strCache>
                <c:ptCount val="4"/>
                <c:pt idx="0">
                  <c:v>Accessories</c:v>
                </c:pt>
                <c:pt idx="1">
                  <c:v>Clothing</c:v>
                </c:pt>
                <c:pt idx="2">
                  <c:v>Electronics</c:v>
                </c:pt>
                <c:pt idx="3">
                  <c:v>Home Appliances</c:v>
                </c:pt>
              </c:strCache>
            </c:strRef>
          </c:cat>
          <c:val>
            <c:numRef>
              <c:f>Sheet3!$B$68:$B$72</c:f>
              <c:numCache>
                <c:formatCode>0.0,"K"</c:formatCode>
                <c:ptCount val="4"/>
                <c:pt idx="0">
                  <c:v>1252378</c:v>
                </c:pt>
                <c:pt idx="1">
                  <c:v>1202218</c:v>
                </c:pt>
                <c:pt idx="2">
                  <c:v>1988801</c:v>
                </c:pt>
                <c:pt idx="3">
                  <c:v>1632532</c:v>
                </c:pt>
              </c:numCache>
            </c:numRef>
          </c:val>
          <c:extLst>
            <c:ext xmlns:c16="http://schemas.microsoft.com/office/drawing/2014/chart" uri="{C3380CC4-5D6E-409C-BE32-E72D297353CC}">
              <c16:uniqueId val="{00000008-1801-4931-A245-C06A966C6F5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[Sales(dashboard).xlsx]Sheet3!PivotTable1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00572737686139E-2"/>
          <c:y val="6.310962844910252E-2"/>
          <c:w val="0.93699885452462772"/>
          <c:h val="0.8037965133876338"/>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Sheet3!$B$4:$B$14</c:f>
              <c:numCache>
                <c:formatCode>0.00,"k"</c:formatCode>
                <c:ptCount val="10"/>
                <c:pt idx="0">
                  <c:v>634304</c:v>
                </c:pt>
                <c:pt idx="1">
                  <c:v>528643</c:v>
                </c:pt>
                <c:pt idx="2">
                  <c:v>570400</c:v>
                </c:pt>
                <c:pt idx="3">
                  <c:v>479652</c:v>
                </c:pt>
                <c:pt idx="4">
                  <c:v>631283</c:v>
                </c:pt>
                <c:pt idx="5">
                  <c:v>596878</c:v>
                </c:pt>
                <c:pt idx="6">
                  <c:v>783782</c:v>
                </c:pt>
                <c:pt idx="7">
                  <c:v>673752</c:v>
                </c:pt>
                <c:pt idx="8">
                  <c:v>656485</c:v>
                </c:pt>
                <c:pt idx="9">
                  <c:v>520750</c:v>
                </c:pt>
              </c:numCache>
            </c:numRef>
          </c:val>
          <c:extLst>
            <c:ext xmlns:c16="http://schemas.microsoft.com/office/drawing/2014/chart" uri="{C3380CC4-5D6E-409C-BE32-E72D297353CC}">
              <c16:uniqueId val="{00000000-C5DE-4C0C-86A1-CC2228109287}"/>
            </c:ext>
          </c:extLst>
        </c:ser>
        <c:dLbls>
          <c:showLegendKey val="0"/>
          <c:showVal val="0"/>
          <c:showCatName val="0"/>
          <c:showSerName val="0"/>
          <c:showPercent val="0"/>
          <c:showBubbleSize val="0"/>
        </c:dLbls>
        <c:gapWidth val="219"/>
        <c:overlap val="-27"/>
        <c:axId val="876692751"/>
        <c:axId val="876693711"/>
      </c:barChart>
      <c:catAx>
        <c:axId val="87669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693711"/>
        <c:crosses val="autoZero"/>
        <c:auto val="1"/>
        <c:lblAlgn val="ctr"/>
        <c:lblOffset val="100"/>
        <c:noMultiLvlLbl val="0"/>
      </c:catAx>
      <c:valAx>
        <c:axId val="876693711"/>
        <c:scaling>
          <c:orientation val="minMax"/>
        </c:scaling>
        <c:delete val="1"/>
        <c:axPos val="l"/>
        <c:numFmt formatCode="0.00,&quot;k&quot;" sourceLinked="1"/>
        <c:majorTickMark val="none"/>
        <c:minorTickMark val="none"/>
        <c:tickLblPos val="nextTo"/>
        <c:crossAx val="87669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[Sales(dashboard).xlsx]Sheet3!PivotTable2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284080709874291E-2"/>
          <c:y val="0.20990379173740806"/>
          <c:w val="0.82591123660374244"/>
          <c:h val="0.65881002990076154"/>
        </c:manualLayout>
      </c:layout>
      <c:barChart>
        <c:barDir val="bar"/>
        <c:grouping val="stacked"/>
        <c:varyColors val="0"/>
        <c:ser>
          <c:idx val="0"/>
          <c:order val="0"/>
          <c:tx>
            <c:strRef>
              <c:f>Sheet3!$B$19</c:f>
              <c:strCache>
                <c:ptCount val="1"/>
                <c:pt idx="0">
                  <c:v>Total</c:v>
                </c:pt>
              </c:strCache>
            </c:strRef>
          </c:tx>
          <c:spPr>
            <a:solidFill>
              <a:schemeClr val="accent1"/>
            </a:solidFill>
            <a:ln>
              <a:noFill/>
            </a:ln>
            <a:effectLst/>
          </c:spPr>
          <c:invertIfNegative val="0"/>
          <c:cat>
            <c:strRef>
              <c:f>Sheet3!$A$20:$A$30</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Sheet3!$B$20:$B$30</c:f>
              <c:numCache>
                <c:formatCode>0.00,"k"</c:formatCode>
                <c:ptCount val="10"/>
                <c:pt idx="0">
                  <c:v>126860.80000000003</c:v>
                </c:pt>
                <c:pt idx="1">
                  <c:v>105728.60000000002</c:v>
                </c:pt>
                <c:pt idx="2">
                  <c:v>114080.00000000001</c:v>
                </c:pt>
                <c:pt idx="3">
                  <c:v>95930.400000000009</c:v>
                </c:pt>
                <c:pt idx="4">
                  <c:v>126256.6</c:v>
                </c:pt>
                <c:pt idx="5">
                  <c:v>119375.6</c:v>
                </c:pt>
                <c:pt idx="6">
                  <c:v>156756.40000000002</c:v>
                </c:pt>
                <c:pt idx="7">
                  <c:v>134750.40000000002</c:v>
                </c:pt>
                <c:pt idx="8">
                  <c:v>131297</c:v>
                </c:pt>
                <c:pt idx="9">
                  <c:v>104150.00000000001</c:v>
                </c:pt>
              </c:numCache>
            </c:numRef>
          </c:val>
          <c:extLst>
            <c:ext xmlns:c16="http://schemas.microsoft.com/office/drawing/2014/chart" uri="{C3380CC4-5D6E-409C-BE32-E72D297353CC}">
              <c16:uniqueId val="{00000000-D337-45E8-9B31-07F8BA31ECB2}"/>
            </c:ext>
          </c:extLst>
        </c:ser>
        <c:dLbls>
          <c:showLegendKey val="0"/>
          <c:showVal val="0"/>
          <c:showCatName val="0"/>
          <c:showSerName val="0"/>
          <c:showPercent val="0"/>
          <c:showBubbleSize val="0"/>
        </c:dLbls>
        <c:gapWidth val="150"/>
        <c:overlap val="100"/>
        <c:axId val="1639023952"/>
        <c:axId val="1639012432"/>
      </c:barChart>
      <c:catAx>
        <c:axId val="163902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012432"/>
        <c:crosses val="autoZero"/>
        <c:auto val="1"/>
        <c:lblAlgn val="ctr"/>
        <c:lblOffset val="100"/>
        <c:noMultiLvlLbl val="0"/>
      </c:catAx>
      <c:valAx>
        <c:axId val="1639012432"/>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02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[Sales(dashboard).xlsx]Sheet3!PivotTable3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Sheet3!$B$33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5A-4258-872E-5EBCEF5AD6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5A-4258-872E-5EBCEF5AD6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5A-4258-872E-5EBCEF5AD6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5A-4258-872E-5EBCEF5AD663}"/>
              </c:ext>
            </c:extLst>
          </c:dPt>
          <c:cat>
            <c:strRef>
              <c:f>Sheet3!$A$34:$A$37</c:f>
              <c:strCache>
                <c:ptCount val="3"/>
                <c:pt idx="0">
                  <c:v>North</c:v>
                </c:pt>
                <c:pt idx="1">
                  <c:v>South</c:v>
                </c:pt>
                <c:pt idx="2">
                  <c:v>West</c:v>
                </c:pt>
              </c:strCache>
            </c:strRef>
          </c:cat>
          <c:val>
            <c:numRef>
              <c:f>Sheet3!$B$34:$B$37</c:f>
              <c:numCache>
                <c:formatCode>0.0,"K"</c:formatCode>
                <c:ptCount val="3"/>
                <c:pt idx="0">
                  <c:v>415591.39999999997</c:v>
                </c:pt>
                <c:pt idx="1">
                  <c:v>369859.4</c:v>
                </c:pt>
                <c:pt idx="2">
                  <c:v>429735.00000000006</c:v>
                </c:pt>
              </c:numCache>
            </c:numRef>
          </c:val>
          <c:extLst>
            <c:ext xmlns:c16="http://schemas.microsoft.com/office/drawing/2014/chart" uri="{C3380CC4-5D6E-409C-BE32-E72D297353CC}">
              <c16:uniqueId val="{00000000-D6A7-471E-A917-98F37CC92770}"/>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[Sales(dashboard).xlsx]Sheet3!PivotTable4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3.1760336150641721E-2"/>
              <c:y val="-4.45979088679488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3847552312841628E-2"/>
              <c:y val="3.60851751454565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1.2275307616364467E-2"/>
              <c:y val="5.77647739387767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3847552312841628E-2"/>
              <c:y val="3.60851751454565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Sheet3!$B$44</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3-431C-49E3-A80E-259079F8D6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31C-49E3-A80E-259079F8D6B8}"/>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31C-49E3-A80E-259079F8D6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431C-49E3-A80E-259079F8D6B8}"/>
              </c:ext>
            </c:extLst>
          </c:dPt>
          <c:dLbls>
            <c:dLbl>
              <c:idx val="0"/>
              <c:layout>
                <c:manualLayout>
                  <c:x val="3.1760336150641721E-2"/>
                  <c:y val="-4.459790886794888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1C-49E3-A80E-259079F8D6B8}"/>
                </c:ext>
              </c:extLst>
            </c:dLbl>
            <c:dLbl>
              <c:idx val="1"/>
              <c:layout>
                <c:manualLayout>
                  <c:x val="1.3847552312841628E-2"/>
                  <c:y val="3.608517514545654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1C-49E3-A80E-259079F8D6B8}"/>
                </c:ext>
              </c:extLst>
            </c:dLbl>
            <c:dLbl>
              <c:idx val="2"/>
              <c:layout>
                <c:manualLayout>
                  <c:x val="-1.2275307616364467E-2"/>
                  <c:y val="5.776477393877677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1C-49E3-A80E-259079F8D6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Sheet3!$A$45:$A$48</c:f>
              <c:strCache>
                <c:ptCount val="3"/>
                <c:pt idx="0">
                  <c:v>North</c:v>
                </c:pt>
                <c:pt idx="1">
                  <c:v>South</c:v>
                </c:pt>
                <c:pt idx="2">
                  <c:v>West</c:v>
                </c:pt>
              </c:strCache>
            </c:strRef>
          </c:cat>
          <c:val>
            <c:numRef>
              <c:f>Sheet3!$B$45:$B$48</c:f>
              <c:numCache>
                <c:formatCode>0.0,"K"</c:formatCode>
                <c:ptCount val="3"/>
                <c:pt idx="0">
                  <c:v>2077957</c:v>
                </c:pt>
                <c:pt idx="1">
                  <c:v>1849297</c:v>
                </c:pt>
                <c:pt idx="2">
                  <c:v>2148675</c:v>
                </c:pt>
              </c:numCache>
            </c:numRef>
          </c:val>
          <c:extLst>
            <c:ext xmlns:c16="http://schemas.microsoft.com/office/drawing/2014/chart" uri="{C3380CC4-5D6E-409C-BE32-E72D297353CC}">
              <c16:uniqueId val="{00000000-431C-49E3-A80E-259079F8D6B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[Sales(dashboard).xlsx]Sheet3!PivotTable5</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Sheet3!$B$57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9A-47C4-B5C4-3228267AE3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9A-47C4-B5C4-3228267AE3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9A-47C4-B5C4-3228267AE3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9A-47C4-B5C4-3228267AE3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Sheet3!$A$58:$A$62</c:f>
              <c:strCache>
                <c:ptCount val="4"/>
                <c:pt idx="0">
                  <c:v>Accessories</c:v>
                </c:pt>
                <c:pt idx="1">
                  <c:v>Clothing</c:v>
                </c:pt>
                <c:pt idx="2">
                  <c:v>Electronics</c:v>
                </c:pt>
                <c:pt idx="3">
                  <c:v>Home Appliances</c:v>
                </c:pt>
              </c:strCache>
            </c:strRef>
          </c:cat>
          <c:val>
            <c:numRef>
              <c:f>Sheet3!$B$58:$B$62</c:f>
              <c:numCache>
                <c:formatCode>0.0,"K"</c:formatCode>
                <c:ptCount val="4"/>
                <c:pt idx="0">
                  <c:v>250475.6</c:v>
                </c:pt>
                <c:pt idx="1">
                  <c:v>240443.59999999995</c:v>
                </c:pt>
                <c:pt idx="2">
                  <c:v>397760.20000000019</c:v>
                </c:pt>
                <c:pt idx="3">
                  <c:v>326506.39999999997</c:v>
                </c:pt>
              </c:numCache>
            </c:numRef>
          </c:val>
          <c:extLst>
            <c:ext xmlns:c16="http://schemas.microsoft.com/office/drawing/2014/chart" uri="{C3380CC4-5D6E-409C-BE32-E72D297353CC}">
              <c16:uniqueId val="{00000000-CD5F-4450-9448-83627240C00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[Sales(dashboard).xlsx]Sheet3!PivotTable6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55555555555556"/>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444444444444553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27777777777777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9444444444444489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1BA-4FB5-8A9B-B607781349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BA-4FB5-8A9B-B607781349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31BA-4FB5-8A9B-B607781349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31BA-4FB5-8A9B-B60778134984}"/>
              </c:ext>
            </c:extLst>
          </c:dPt>
          <c:dLbls>
            <c:dLbl>
              <c:idx val="0"/>
              <c:layout>
                <c:manualLayout>
                  <c:x val="0.10555555555555556"/>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BA-4FB5-8A9B-B60778134984}"/>
                </c:ext>
              </c:extLst>
            </c:dLbl>
            <c:dLbl>
              <c:idx val="1"/>
              <c:layout>
                <c:manualLayout>
                  <c:x val="9.4444444444444553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BA-4FB5-8A9B-B60778134984}"/>
                </c:ext>
              </c:extLst>
            </c:dLbl>
            <c:dLbl>
              <c:idx val="2"/>
              <c:layout>
                <c:manualLayout>
                  <c:x val="-0.10277777777777777"/>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1BA-4FB5-8A9B-B60778134984}"/>
                </c:ext>
              </c:extLst>
            </c:dLbl>
            <c:dLbl>
              <c:idx val="3"/>
              <c:layout>
                <c:manualLayout>
                  <c:x val="-6.9444444444444489E-2"/>
                  <c:y val="-7.870370370370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1BA-4FB5-8A9B-B6077813498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Sheet3!$A$68:$A$72</c:f>
              <c:strCache>
                <c:ptCount val="4"/>
                <c:pt idx="0">
                  <c:v>Accessories</c:v>
                </c:pt>
                <c:pt idx="1">
                  <c:v>Clothing</c:v>
                </c:pt>
                <c:pt idx="2">
                  <c:v>Electronics</c:v>
                </c:pt>
                <c:pt idx="3">
                  <c:v>Home Appliances</c:v>
                </c:pt>
              </c:strCache>
            </c:strRef>
          </c:cat>
          <c:val>
            <c:numRef>
              <c:f>Sheet3!$B$68:$B$72</c:f>
              <c:numCache>
                <c:formatCode>0.0,"K"</c:formatCode>
                <c:ptCount val="4"/>
                <c:pt idx="0">
                  <c:v>1252378</c:v>
                </c:pt>
                <c:pt idx="1">
                  <c:v>1202218</c:v>
                </c:pt>
                <c:pt idx="2">
                  <c:v>1988801</c:v>
                </c:pt>
                <c:pt idx="3">
                  <c:v>1632532</c:v>
                </c:pt>
              </c:numCache>
            </c:numRef>
          </c:val>
          <c:extLst>
            <c:ext xmlns:c16="http://schemas.microsoft.com/office/drawing/2014/chart" uri="{C3380CC4-5D6E-409C-BE32-E72D297353CC}">
              <c16:uniqueId val="{00000000-31BA-4FB5-8A9B-B6077813498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5.svg"/><Relationship Id="rId18" Type="http://schemas.openxmlformats.org/officeDocument/2006/relationships/image" Target="../media/image9.svg"/><Relationship Id="rId3" Type="http://schemas.openxmlformats.org/officeDocument/2006/relationships/image" Target="../media/image2.svg"/><Relationship Id="rId7" Type="http://schemas.openxmlformats.org/officeDocument/2006/relationships/chart" Target="../charts/chart4.xml"/><Relationship Id="rId12" Type="http://schemas.openxmlformats.org/officeDocument/2006/relationships/image" Target="../media/image4.png"/><Relationship Id="rId17" Type="http://schemas.openxmlformats.org/officeDocument/2006/relationships/image" Target="../media/image8.png"/><Relationship Id="rId2" Type="http://schemas.openxmlformats.org/officeDocument/2006/relationships/image" Target="../media/image1.png"/><Relationship Id="rId16" Type="http://schemas.openxmlformats.org/officeDocument/2006/relationships/image" Target="../media/image7.svg"/><Relationship Id="rId1" Type="http://schemas.openxmlformats.org/officeDocument/2006/relationships/hyperlink" Target="#'sales_data_large (2)'!A1"/><Relationship Id="rId6" Type="http://schemas.openxmlformats.org/officeDocument/2006/relationships/chart" Target="../charts/chart3.xml"/><Relationship Id="rId11" Type="http://schemas.microsoft.com/office/2007/relationships/hdphoto" Target="../media/hdphoto1.wdp"/><Relationship Id="rId5" Type="http://schemas.openxmlformats.org/officeDocument/2006/relationships/chart" Target="../charts/chart2.xml"/><Relationship Id="rId15" Type="http://schemas.openxmlformats.org/officeDocument/2006/relationships/image" Target="../media/image6.png"/><Relationship Id="rId10" Type="http://schemas.openxmlformats.org/officeDocument/2006/relationships/image" Target="../media/image3.png"/><Relationship Id="rId4" Type="http://schemas.openxmlformats.org/officeDocument/2006/relationships/chart" Target="../charts/chart1.xml"/><Relationship Id="rId9" Type="http://schemas.openxmlformats.org/officeDocument/2006/relationships/chart" Target="../charts/chart6.xml"/><Relationship Id="rId14" Type="http://schemas.openxmlformats.org/officeDocument/2006/relationships/hyperlink" Target="#Sheet3!A1"/></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251461</xdr:colOff>
      <xdr:row>1</xdr:row>
      <xdr:rowOff>45720</xdr:rowOff>
    </xdr:from>
    <xdr:to>
      <xdr:col>19</xdr:col>
      <xdr:colOff>573975</xdr:colOff>
      <xdr:row>31</xdr:row>
      <xdr:rowOff>60960</xdr:rowOff>
    </xdr:to>
    <xdr:sp macro="" textlink="">
      <xdr:nvSpPr>
        <xdr:cNvPr id="2" name="Rectangle 1">
          <a:extLst>
            <a:ext uri="{FF2B5EF4-FFF2-40B4-BE49-F238E27FC236}">
              <a16:creationId xmlns:a16="http://schemas.microsoft.com/office/drawing/2014/main" id="{DEDB032C-F728-A1B7-177F-83CB09527D2E}"/>
            </a:ext>
          </a:extLst>
        </xdr:cNvPr>
        <xdr:cNvSpPr/>
      </xdr:nvSpPr>
      <xdr:spPr>
        <a:xfrm>
          <a:off x="862499" y="225437"/>
          <a:ext cx="11321193" cy="5406749"/>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457201</xdr:colOff>
      <xdr:row>3</xdr:row>
      <xdr:rowOff>9204</xdr:rowOff>
    </xdr:from>
    <xdr:to>
      <xdr:col>4</xdr:col>
      <xdr:colOff>365761</xdr:colOff>
      <xdr:row>30</xdr:row>
      <xdr:rowOff>47304</xdr:rowOff>
    </xdr:to>
    <xdr:sp macro="" textlink="">
      <xdr:nvSpPr>
        <xdr:cNvPr id="3" name="Rectangle: Top Corners Rounded 2">
          <a:hlinkClick xmlns:r="http://schemas.openxmlformats.org/officeDocument/2006/relationships" r:id="rId1"/>
          <a:extLst>
            <a:ext uri="{FF2B5EF4-FFF2-40B4-BE49-F238E27FC236}">
              <a16:creationId xmlns:a16="http://schemas.microsoft.com/office/drawing/2014/main" id="{44CDB456-835A-A46F-0399-15C7A85494CB}"/>
            </a:ext>
          </a:extLst>
        </xdr:cNvPr>
        <xdr:cNvSpPr/>
      </xdr:nvSpPr>
      <xdr:spPr>
        <a:xfrm rot="5400000">
          <a:off x="-478426" y="2092779"/>
          <a:ext cx="4847606" cy="1749236"/>
        </a:xfrm>
        <a:prstGeom prst="round2SameRect">
          <a:avLst>
            <a:gd name="adj1" fmla="val 19299"/>
            <a:gd name="adj2" fmla="val 1839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xdr:colOff>
      <xdr:row>3</xdr:row>
      <xdr:rowOff>91440</xdr:rowOff>
    </xdr:from>
    <xdr:to>
      <xdr:col>4</xdr:col>
      <xdr:colOff>259080</xdr:colOff>
      <xdr:row>7</xdr:row>
      <xdr:rowOff>91440</xdr:rowOff>
    </xdr:to>
    <xdr:sp macro="" textlink="">
      <xdr:nvSpPr>
        <xdr:cNvPr id="4" name="TextBox 3">
          <a:extLst>
            <a:ext uri="{FF2B5EF4-FFF2-40B4-BE49-F238E27FC236}">
              <a16:creationId xmlns:a16="http://schemas.microsoft.com/office/drawing/2014/main" id="{BC45EB7C-AB02-86DF-4A8E-2AAE11C56494}"/>
            </a:ext>
          </a:extLst>
        </xdr:cNvPr>
        <xdr:cNvSpPr txBox="1"/>
      </xdr:nvSpPr>
      <xdr:spPr>
        <a:xfrm>
          <a:off x="1226820" y="640080"/>
          <a:ext cx="147066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cap="none" spc="0">
              <a:ln w="0"/>
              <a:solidFill>
                <a:schemeClr val="accent1"/>
              </a:solidFill>
              <a:effectLst>
                <a:outerShdw blurRad="38100" dist="25400" dir="5400000" algn="ctr" rotWithShape="0">
                  <a:srgbClr val="6E747A">
                    <a:alpha val="43000"/>
                  </a:srgbClr>
                </a:outerShdw>
              </a:effectLst>
            </a:rPr>
            <a:t>SALES</a:t>
          </a:r>
          <a:r>
            <a:rPr lang="en-IN" sz="2000" b="1" cap="none" spc="0" baseline="0">
              <a:ln w="0"/>
              <a:solidFill>
                <a:schemeClr val="accent1"/>
              </a:solidFill>
              <a:effectLst>
                <a:outerShdw blurRad="38100" dist="25400" dir="5400000" algn="ctr" rotWithShape="0">
                  <a:srgbClr val="6E747A">
                    <a:alpha val="43000"/>
                  </a:srgbClr>
                </a:outerShdw>
              </a:effectLst>
            </a:rPr>
            <a:t> DATA ANALYSIS</a:t>
          </a:r>
          <a:endParaRPr lang="en-IN" sz="2000" b="1"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editAs="oneCell">
    <xdr:from>
      <xdr:col>3</xdr:col>
      <xdr:colOff>518160</xdr:colOff>
      <xdr:row>5</xdr:row>
      <xdr:rowOff>45720</xdr:rowOff>
    </xdr:from>
    <xdr:to>
      <xdr:col>4</xdr:col>
      <xdr:colOff>274320</xdr:colOff>
      <xdr:row>7</xdr:row>
      <xdr:rowOff>45720</xdr:rowOff>
    </xdr:to>
    <xdr:pic>
      <xdr:nvPicPr>
        <xdr:cNvPr id="6" name="Graphic 5" descr="Bar graph with upward trend with solid fill">
          <a:extLst>
            <a:ext uri="{FF2B5EF4-FFF2-40B4-BE49-F238E27FC236}">
              <a16:creationId xmlns:a16="http://schemas.microsoft.com/office/drawing/2014/main" id="{B5170E62-0D2A-0224-552B-E647AB04C6B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46960" y="960120"/>
          <a:ext cx="365760" cy="365760"/>
        </a:xfrm>
        <a:prstGeom prst="rect">
          <a:avLst/>
        </a:prstGeom>
      </xdr:spPr>
    </xdr:pic>
    <xdr:clientData/>
  </xdr:twoCellAnchor>
  <xdr:twoCellAnchor>
    <xdr:from>
      <xdr:col>4</xdr:col>
      <xdr:colOff>419100</xdr:colOff>
      <xdr:row>4</xdr:row>
      <xdr:rowOff>38100</xdr:rowOff>
    </xdr:from>
    <xdr:to>
      <xdr:col>9</xdr:col>
      <xdr:colOff>350520</xdr:colOff>
      <xdr:row>12</xdr:row>
      <xdr:rowOff>0</xdr:rowOff>
    </xdr:to>
    <xdr:graphicFrame macro="">
      <xdr:nvGraphicFramePr>
        <xdr:cNvPr id="7" name="Chart 6">
          <a:extLst>
            <a:ext uri="{FF2B5EF4-FFF2-40B4-BE49-F238E27FC236}">
              <a16:creationId xmlns:a16="http://schemas.microsoft.com/office/drawing/2014/main" id="{3AC81E3A-5D55-4023-AA29-7BAD43273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381000</xdr:colOff>
      <xdr:row>1</xdr:row>
      <xdr:rowOff>167640</xdr:rowOff>
    </xdr:from>
    <xdr:to>
      <xdr:col>6</xdr:col>
      <xdr:colOff>327660</xdr:colOff>
      <xdr:row>3</xdr:row>
      <xdr:rowOff>152400</xdr:rowOff>
    </xdr:to>
    <xdr:sp macro="" textlink="">
      <xdr:nvSpPr>
        <xdr:cNvPr id="8" name="TextBox 7">
          <a:extLst>
            <a:ext uri="{FF2B5EF4-FFF2-40B4-BE49-F238E27FC236}">
              <a16:creationId xmlns:a16="http://schemas.microsoft.com/office/drawing/2014/main" id="{8E8F4896-7DB4-862B-0521-497DFE12C62B}"/>
            </a:ext>
          </a:extLst>
        </xdr:cNvPr>
        <xdr:cNvSpPr txBox="1"/>
      </xdr:nvSpPr>
      <xdr:spPr>
        <a:xfrm>
          <a:off x="2819400" y="350520"/>
          <a:ext cx="11658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SALES</a:t>
          </a:r>
          <a:endParaRPr lang="en-IN" sz="1400" b="1"/>
        </a:p>
      </xdr:txBody>
    </xdr:sp>
    <xdr:clientData/>
  </xdr:twoCellAnchor>
  <xdr:twoCellAnchor>
    <xdr:from>
      <xdr:col>4</xdr:col>
      <xdr:colOff>480060</xdr:colOff>
      <xdr:row>12</xdr:row>
      <xdr:rowOff>160020</xdr:rowOff>
    </xdr:from>
    <xdr:to>
      <xdr:col>6</xdr:col>
      <xdr:colOff>571500</xdr:colOff>
      <xdr:row>14</xdr:row>
      <xdr:rowOff>114300</xdr:rowOff>
    </xdr:to>
    <xdr:sp macro="" textlink="">
      <xdr:nvSpPr>
        <xdr:cNvPr id="9" name="TextBox 8">
          <a:extLst>
            <a:ext uri="{FF2B5EF4-FFF2-40B4-BE49-F238E27FC236}">
              <a16:creationId xmlns:a16="http://schemas.microsoft.com/office/drawing/2014/main" id="{9A15D268-178D-464D-E95C-7C434E4F1FC1}"/>
            </a:ext>
          </a:extLst>
        </xdr:cNvPr>
        <xdr:cNvSpPr txBox="1"/>
      </xdr:nvSpPr>
      <xdr:spPr>
        <a:xfrm>
          <a:off x="2918460" y="2354580"/>
          <a:ext cx="13106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PROFIT</a:t>
          </a:r>
          <a:endParaRPr lang="en-IN" sz="1400" b="1"/>
        </a:p>
      </xdr:txBody>
    </xdr:sp>
    <xdr:clientData/>
  </xdr:twoCellAnchor>
  <xdr:twoCellAnchor>
    <xdr:from>
      <xdr:col>4</xdr:col>
      <xdr:colOff>426720</xdr:colOff>
      <xdr:row>14</xdr:row>
      <xdr:rowOff>99060</xdr:rowOff>
    </xdr:from>
    <xdr:to>
      <xdr:col>9</xdr:col>
      <xdr:colOff>304800</xdr:colOff>
      <xdr:row>24</xdr:row>
      <xdr:rowOff>160020</xdr:rowOff>
    </xdr:to>
    <xdr:graphicFrame macro="">
      <xdr:nvGraphicFramePr>
        <xdr:cNvPr id="10" name="Chart 9">
          <a:extLst>
            <a:ext uri="{FF2B5EF4-FFF2-40B4-BE49-F238E27FC236}">
              <a16:creationId xmlns:a16="http://schemas.microsoft.com/office/drawing/2014/main" id="{BCC9E46A-0534-4847-B2F8-EEBC8BDC8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558934</xdr:colOff>
      <xdr:row>8</xdr:row>
      <xdr:rowOff>32858</xdr:rowOff>
    </xdr:from>
    <xdr:to>
      <xdr:col>4</xdr:col>
      <xdr:colOff>267195</xdr:colOff>
      <xdr:row>15</xdr:row>
      <xdr:rowOff>108857</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261D14D1-1D4B-48A3-A23D-DCA7A3B21F6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69972" y="1470594"/>
              <a:ext cx="1541374" cy="1334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144780</xdr:colOff>
      <xdr:row>1</xdr:row>
      <xdr:rowOff>144780</xdr:rowOff>
    </xdr:from>
    <xdr:to>
      <xdr:col>10</xdr:col>
      <xdr:colOff>188026</xdr:colOff>
      <xdr:row>25</xdr:row>
      <xdr:rowOff>128649</xdr:rowOff>
    </xdr:to>
    <xdr:cxnSp macro="">
      <xdr:nvCxnSpPr>
        <xdr:cNvPr id="13" name="Straight Connector 12">
          <a:extLst>
            <a:ext uri="{FF2B5EF4-FFF2-40B4-BE49-F238E27FC236}">
              <a16:creationId xmlns:a16="http://schemas.microsoft.com/office/drawing/2014/main" id="{9F68AB53-7CC3-B25C-D3AC-BC018A600E7A}"/>
            </a:ext>
          </a:extLst>
        </xdr:cNvPr>
        <xdr:cNvCxnSpPr/>
      </xdr:nvCxnSpPr>
      <xdr:spPr>
        <a:xfrm>
          <a:off x="6280364" y="322910"/>
          <a:ext cx="43246" cy="425898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502920</xdr:colOff>
      <xdr:row>12</xdr:row>
      <xdr:rowOff>91440</xdr:rowOff>
    </xdr:from>
    <xdr:to>
      <xdr:col>10</xdr:col>
      <xdr:colOff>49320</xdr:colOff>
      <xdr:row>12</xdr:row>
      <xdr:rowOff>91440</xdr:rowOff>
    </xdr:to>
    <xdr:cxnSp macro="">
      <xdr:nvCxnSpPr>
        <xdr:cNvPr id="15" name="Straight Connector 14">
          <a:extLst>
            <a:ext uri="{FF2B5EF4-FFF2-40B4-BE49-F238E27FC236}">
              <a16:creationId xmlns:a16="http://schemas.microsoft.com/office/drawing/2014/main" id="{1844BC7D-41A4-66B9-E6EC-7378C8D4A84D}"/>
            </a:ext>
          </a:extLst>
        </xdr:cNvPr>
        <xdr:cNvCxnSpPr/>
      </xdr:nvCxnSpPr>
      <xdr:spPr>
        <a:xfrm flipV="1">
          <a:off x="2941320" y="2286000"/>
          <a:ext cx="3204000" cy="0"/>
        </a:xfrm>
        <a:prstGeom prst="line">
          <a:avLst/>
        </a:prstGeom>
        <a:ln>
          <a:solidFill>
            <a:schemeClr val="bg1">
              <a:lumMod val="50000"/>
            </a:schemeClr>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350520</xdr:colOff>
      <xdr:row>1</xdr:row>
      <xdr:rowOff>160020</xdr:rowOff>
    </xdr:from>
    <xdr:to>
      <xdr:col>15</xdr:col>
      <xdr:colOff>335280</xdr:colOff>
      <xdr:row>3</xdr:row>
      <xdr:rowOff>114300</xdr:rowOff>
    </xdr:to>
    <xdr:sp macro="" textlink="">
      <xdr:nvSpPr>
        <xdr:cNvPr id="18" name="TextBox 17">
          <a:extLst>
            <a:ext uri="{FF2B5EF4-FFF2-40B4-BE49-F238E27FC236}">
              <a16:creationId xmlns:a16="http://schemas.microsoft.com/office/drawing/2014/main" id="{74DC4194-136E-36AB-FE9B-0AFEE54F7B12}"/>
            </a:ext>
          </a:extLst>
        </xdr:cNvPr>
        <xdr:cNvSpPr txBox="1"/>
      </xdr:nvSpPr>
      <xdr:spPr>
        <a:xfrm>
          <a:off x="6446520" y="342900"/>
          <a:ext cx="30327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SALES</a:t>
          </a:r>
          <a:r>
            <a:rPr lang="en-IN" sz="1400" b="1" baseline="0"/>
            <a:t> AND PROFIT BY REGION</a:t>
          </a:r>
          <a:endParaRPr lang="en-IN" sz="1400" b="1"/>
        </a:p>
      </xdr:txBody>
    </xdr:sp>
    <xdr:clientData/>
  </xdr:twoCellAnchor>
  <xdr:twoCellAnchor>
    <xdr:from>
      <xdr:col>10</xdr:col>
      <xdr:colOff>335280</xdr:colOff>
      <xdr:row>3</xdr:row>
      <xdr:rowOff>60960</xdr:rowOff>
    </xdr:from>
    <xdr:to>
      <xdr:col>14</xdr:col>
      <xdr:colOff>228600</xdr:colOff>
      <xdr:row>13</xdr:row>
      <xdr:rowOff>60960</xdr:rowOff>
    </xdr:to>
    <xdr:graphicFrame macro="">
      <xdr:nvGraphicFramePr>
        <xdr:cNvPr id="19" name="Chart 18">
          <a:extLst>
            <a:ext uri="{FF2B5EF4-FFF2-40B4-BE49-F238E27FC236}">
              <a16:creationId xmlns:a16="http://schemas.microsoft.com/office/drawing/2014/main" id="{0D1FDC43-90AE-4D00-A050-0E066F984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449580</xdr:colOff>
      <xdr:row>3</xdr:row>
      <xdr:rowOff>129540</xdr:rowOff>
    </xdr:from>
    <xdr:to>
      <xdr:col>19</xdr:col>
      <xdr:colOff>68580</xdr:colOff>
      <xdr:row>13</xdr:row>
      <xdr:rowOff>91440</xdr:rowOff>
    </xdr:to>
    <xdr:graphicFrame macro="">
      <xdr:nvGraphicFramePr>
        <xdr:cNvPr id="20" name="Chart 19">
          <a:extLst>
            <a:ext uri="{FF2B5EF4-FFF2-40B4-BE49-F238E27FC236}">
              <a16:creationId xmlns:a16="http://schemas.microsoft.com/office/drawing/2014/main" id="{4C56B08F-5A04-4502-821C-7A67D1393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7620</xdr:colOff>
      <xdr:row>12</xdr:row>
      <xdr:rowOff>91440</xdr:rowOff>
    </xdr:from>
    <xdr:to>
      <xdr:col>13</xdr:col>
      <xdr:colOff>38100</xdr:colOff>
      <xdr:row>14</xdr:row>
      <xdr:rowOff>7620</xdr:rowOff>
    </xdr:to>
    <xdr:sp macro="" textlink="">
      <xdr:nvSpPr>
        <xdr:cNvPr id="21" name="TextBox 20">
          <a:extLst>
            <a:ext uri="{FF2B5EF4-FFF2-40B4-BE49-F238E27FC236}">
              <a16:creationId xmlns:a16="http://schemas.microsoft.com/office/drawing/2014/main" id="{F79E2072-5054-A59B-D687-A6F5F977FE6D}"/>
            </a:ext>
          </a:extLst>
        </xdr:cNvPr>
        <xdr:cNvSpPr txBox="1"/>
      </xdr:nvSpPr>
      <xdr:spPr>
        <a:xfrm>
          <a:off x="7322820" y="2286000"/>
          <a:ext cx="6400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PROFIT</a:t>
          </a:r>
          <a:r>
            <a:rPr lang="en-IN" sz="1100" b="1" baseline="0"/>
            <a:t> </a:t>
          </a:r>
          <a:endParaRPr lang="en-IN" sz="1100" b="1"/>
        </a:p>
      </xdr:txBody>
    </xdr:sp>
    <xdr:clientData/>
  </xdr:twoCellAnchor>
  <xdr:twoCellAnchor>
    <xdr:from>
      <xdr:col>16</xdr:col>
      <xdr:colOff>342900</xdr:colOff>
      <xdr:row>12</xdr:row>
      <xdr:rowOff>91440</xdr:rowOff>
    </xdr:from>
    <xdr:to>
      <xdr:col>17</xdr:col>
      <xdr:colOff>320040</xdr:colOff>
      <xdr:row>13</xdr:row>
      <xdr:rowOff>167640</xdr:rowOff>
    </xdr:to>
    <xdr:sp macro="" textlink="">
      <xdr:nvSpPr>
        <xdr:cNvPr id="22" name="TextBox 21">
          <a:extLst>
            <a:ext uri="{FF2B5EF4-FFF2-40B4-BE49-F238E27FC236}">
              <a16:creationId xmlns:a16="http://schemas.microsoft.com/office/drawing/2014/main" id="{A446CE41-81CE-6AF1-C8BF-FF550286EBF3}"/>
            </a:ext>
          </a:extLst>
        </xdr:cNvPr>
        <xdr:cNvSpPr txBox="1"/>
      </xdr:nvSpPr>
      <xdr:spPr>
        <a:xfrm>
          <a:off x="10096500" y="2286000"/>
          <a:ext cx="5867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SALES</a:t>
          </a:r>
        </a:p>
      </xdr:txBody>
    </xdr:sp>
    <xdr:clientData/>
  </xdr:twoCellAnchor>
  <xdr:twoCellAnchor>
    <xdr:from>
      <xdr:col>10</xdr:col>
      <xdr:colOff>352895</xdr:colOff>
      <xdr:row>14</xdr:row>
      <xdr:rowOff>16922</xdr:rowOff>
    </xdr:from>
    <xdr:to>
      <xdr:col>15</xdr:col>
      <xdr:colOff>532113</xdr:colOff>
      <xdr:row>16</xdr:row>
      <xdr:rowOff>42652</xdr:rowOff>
    </xdr:to>
    <xdr:sp macro="" textlink="">
      <xdr:nvSpPr>
        <xdr:cNvPr id="23" name="TextBox 22">
          <a:extLst>
            <a:ext uri="{FF2B5EF4-FFF2-40B4-BE49-F238E27FC236}">
              <a16:creationId xmlns:a16="http://schemas.microsoft.com/office/drawing/2014/main" id="{00629E52-A7F9-CE0E-5044-E081323B0F41}"/>
            </a:ext>
          </a:extLst>
        </xdr:cNvPr>
        <xdr:cNvSpPr txBox="1"/>
      </xdr:nvSpPr>
      <xdr:spPr>
        <a:xfrm>
          <a:off x="6488479" y="2510740"/>
          <a:ext cx="3247011" cy="381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SALES AND PROFIT BY CATEGORY</a:t>
          </a:r>
        </a:p>
      </xdr:txBody>
    </xdr:sp>
    <xdr:clientData/>
  </xdr:twoCellAnchor>
  <xdr:twoCellAnchor>
    <xdr:from>
      <xdr:col>9</xdr:col>
      <xdr:colOff>446611</xdr:colOff>
      <xdr:row>15</xdr:row>
      <xdr:rowOff>80752</xdr:rowOff>
    </xdr:from>
    <xdr:to>
      <xdr:col>17</xdr:col>
      <xdr:colOff>317071</xdr:colOff>
      <xdr:row>26</xdr:row>
      <xdr:rowOff>35031</xdr:rowOff>
    </xdr:to>
    <xdr:graphicFrame macro="">
      <xdr:nvGraphicFramePr>
        <xdr:cNvPr id="24" name="Chart 23">
          <a:extLst>
            <a:ext uri="{FF2B5EF4-FFF2-40B4-BE49-F238E27FC236}">
              <a16:creationId xmlns:a16="http://schemas.microsoft.com/office/drawing/2014/main" id="{24E6CAD7-25E5-4D34-A00C-4319BB016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272044</xdr:colOff>
      <xdr:row>16</xdr:row>
      <xdr:rowOff>152400</xdr:rowOff>
    </xdr:from>
    <xdr:to>
      <xdr:col>19</xdr:col>
      <xdr:colOff>112024</xdr:colOff>
      <xdr:row>26</xdr:row>
      <xdr:rowOff>68579</xdr:rowOff>
    </xdr:to>
    <xdr:graphicFrame macro="">
      <xdr:nvGraphicFramePr>
        <xdr:cNvPr id="25" name="Chart 24">
          <a:extLst>
            <a:ext uri="{FF2B5EF4-FFF2-40B4-BE49-F238E27FC236}">
              <a16:creationId xmlns:a16="http://schemas.microsoft.com/office/drawing/2014/main" id="{7011BE23-B39D-4275-BC02-C0E3C8FC5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197922</xdr:colOff>
      <xdr:row>26</xdr:row>
      <xdr:rowOff>9896</xdr:rowOff>
    </xdr:from>
    <xdr:to>
      <xdr:col>19</xdr:col>
      <xdr:colOff>286987</xdr:colOff>
      <xdr:row>26</xdr:row>
      <xdr:rowOff>29688</xdr:rowOff>
    </xdr:to>
    <xdr:cxnSp macro="">
      <xdr:nvCxnSpPr>
        <xdr:cNvPr id="30" name="Straight Connector 29">
          <a:extLst>
            <a:ext uri="{FF2B5EF4-FFF2-40B4-BE49-F238E27FC236}">
              <a16:creationId xmlns:a16="http://schemas.microsoft.com/office/drawing/2014/main" id="{5B3F7CE4-5041-D82D-34E1-7BCDEAFB4D4A}"/>
            </a:ext>
          </a:extLst>
        </xdr:cNvPr>
        <xdr:cNvCxnSpPr/>
      </xdr:nvCxnSpPr>
      <xdr:spPr>
        <a:xfrm flipV="1">
          <a:off x="3265714" y="4641273"/>
          <a:ext cx="8678883" cy="1979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128649</xdr:colOff>
      <xdr:row>26</xdr:row>
      <xdr:rowOff>145472</xdr:rowOff>
    </xdr:from>
    <xdr:to>
      <xdr:col>9</xdr:col>
      <xdr:colOff>544286</xdr:colOff>
      <xdr:row>30</xdr:row>
      <xdr:rowOff>155369</xdr:rowOff>
    </xdr:to>
    <xdr:sp macro="" textlink="">
      <xdr:nvSpPr>
        <xdr:cNvPr id="32" name="Rectangle: Rounded Corners 31">
          <a:extLst>
            <a:ext uri="{FF2B5EF4-FFF2-40B4-BE49-F238E27FC236}">
              <a16:creationId xmlns:a16="http://schemas.microsoft.com/office/drawing/2014/main" id="{70F6B745-E074-1CBD-33E4-21653FFB76A9}"/>
            </a:ext>
          </a:extLst>
        </xdr:cNvPr>
        <xdr:cNvSpPr/>
      </xdr:nvSpPr>
      <xdr:spPr>
        <a:xfrm>
          <a:off x="3810000" y="4776849"/>
          <a:ext cx="2256312" cy="72241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409699</xdr:colOff>
      <xdr:row>26</xdr:row>
      <xdr:rowOff>145472</xdr:rowOff>
    </xdr:from>
    <xdr:to>
      <xdr:col>15</xdr:col>
      <xdr:colOff>211777</xdr:colOff>
      <xdr:row>30</xdr:row>
      <xdr:rowOff>155369</xdr:rowOff>
    </xdr:to>
    <xdr:sp macro="" textlink="">
      <xdr:nvSpPr>
        <xdr:cNvPr id="33" name="Rectangle: Rounded Corners 32">
          <a:extLst>
            <a:ext uri="{FF2B5EF4-FFF2-40B4-BE49-F238E27FC236}">
              <a16:creationId xmlns:a16="http://schemas.microsoft.com/office/drawing/2014/main" id="{01D71542-3C00-4D67-AFA2-C9108EE97A4F}"/>
            </a:ext>
          </a:extLst>
        </xdr:cNvPr>
        <xdr:cNvSpPr/>
      </xdr:nvSpPr>
      <xdr:spPr>
        <a:xfrm>
          <a:off x="7158842" y="4776849"/>
          <a:ext cx="2256312" cy="72241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590872</xdr:colOff>
      <xdr:row>28</xdr:row>
      <xdr:rowOff>105312</xdr:rowOff>
    </xdr:from>
    <xdr:to>
      <xdr:col>8</xdr:col>
      <xdr:colOff>445698</xdr:colOff>
      <xdr:row>30</xdr:row>
      <xdr:rowOff>43134</xdr:rowOff>
    </xdr:to>
    <xdr:sp macro="" textlink="">
      <xdr:nvSpPr>
        <xdr:cNvPr id="34" name="TextBox 33">
          <a:extLst>
            <a:ext uri="{FF2B5EF4-FFF2-40B4-BE49-F238E27FC236}">
              <a16:creationId xmlns:a16="http://schemas.microsoft.com/office/drawing/2014/main" id="{651D10F7-8330-2B7E-BB59-4F93B255329A}"/>
            </a:ext>
          </a:extLst>
        </xdr:cNvPr>
        <xdr:cNvSpPr txBox="1"/>
      </xdr:nvSpPr>
      <xdr:spPr>
        <a:xfrm>
          <a:off x="4257098" y="5137387"/>
          <a:ext cx="1076902" cy="297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SALES</a:t>
          </a:r>
        </a:p>
      </xdr:txBody>
    </xdr:sp>
    <xdr:clientData/>
  </xdr:twoCellAnchor>
  <xdr:twoCellAnchor>
    <xdr:from>
      <xdr:col>12</xdr:col>
      <xdr:colOff>295762</xdr:colOff>
      <xdr:row>28</xdr:row>
      <xdr:rowOff>78330</xdr:rowOff>
    </xdr:from>
    <xdr:to>
      <xdr:col>14</xdr:col>
      <xdr:colOff>150963</xdr:colOff>
      <xdr:row>30</xdr:row>
      <xdr:rowOff>2</xdr:rowOff>
    </xdr:to>
    <xdr:sp macro="" textlink="">
      <xdr:nvSpPr>
        <xdr:cNvPr id="36" name="TextBox 35">
          <a:extLst>
            <a:ext uri="{FF2B5EF4-FFF2-40B4-BE49-F238E27FC236}">
              <a16:creationId xmlns:a16="http://schemas.microsoft.com/office/drawing/2014/main" id="{32B561B8-370A-4B71-21BC-915C9B555A07}"/>
            </a:ext>
          </a:extLst>
        </xdr:cNvPr>
        <xdr:cNvSpPr txBox="1"/>
      </xdr:nvSpPr>
      <xdr:spPr>
        <a:xfrm>
          <a:off x="7628215" y="5110405"/>
          <a:ext cx="1077276" cy="28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mn-lt"/>
              <a:ea typeface="+mn-ea"/>
              <a:cs typeface="+mn-cs"/>
            </a:rPr>
            <a:t>TOTAL</a:t>
          </a:r>
          <a:r>
            <a:rPr lang="en-IN" sz="1100"/>
            <a:t> </a:t>
          </a:r>
          <a:r>
            <a:rPr lang="en-IN" sz="1100" b="1">
              <a:solidFill>
                <a:schemeClr val="dk1"/>
              </a:solidFill>
              <a:latin typeface="+mn-lt"/>
              <a:ea typeface="+mn-ea"/>
              <a:cs typeface="+mn-cs"/>
            </a:rPr>
            <a:t>PROFIT</a:t>
          </a:r>
        </a:p>
      </xdr:txBody>
    </xdr:sp>
    <xdr:clientData/>
  </xdr:twoCellAnchor>
  <xdr:twoCellAnchor>
    <xdr:from>
      <xdr:col>12</xdr:col>
      <xdr:colOff>256459</xdr:colOff>
      <xdr:row>26</xdr:row>
      <xdr:rowOff>139387</xdr:rowOff>
    </xdr:from>
    <xdr:to>
      <xdr:col>14</xdr:col>
      <xdr:colOff>244415</xdr:colOff>
      <xdr:row>29</xdr:row>
      <xdr:rowOff>9152</xdr:rowOff>
    </xdr:to>
    <xdr:sp macro="" textlink="Sheet3!L11">
      <xdr:nvSpPr>
        <xdr:cNvPr id="37" name="TextBox 36">
          <a:extLst>
            <a:ext uri="{FF2B5EF4-FFF2-40B4-BE49-F238E27FC236}">
              <a16:creationId xmlns:a16="http://schemas.microsoft.com/office/drawing/2014/main" id="{38D552A8-DFEB-0565-1CE8-F3227F835BAA}"/>
            </a:ext>
          </a:extLst>
        </xdr:cNvPr>
        <xdr:cNvSpPr txBox="1"/>
      </xdr:nvSpPr>
      <xdr:spPr>
        <a:xfrm>
          <a:off x="7588912" y="4812029"/>
          <a:ext cx="1210031" cy="408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AFAE60-22F0-47BC-B03D-0DB5DADD605D}" type="TxLink">
            <a:rPr lang="en-US" sz="1800" b="1" i="0" u="none" strike="noStrike">
              <a:solidFill>
                <a:srgbClr val="000000"/>
              </a:solidFill>
              <a:effectLst/>
              <a:latin typeface="Calibri"/>
              <a:ea typeface="Calibri"/>
              <a:cs typeface="Calibri"/>
            </a:rPr>
            <a:pPr/>
            <a:t>1215.19k</a:t>
          </a:fld>
          <a:endParaRPr lang="en-IN" sz="1800" b="1"/>
        </a:p>
      </xdr:txBody>
    </xdr:sp>
    <xdr:clientData/>
  </xdr:twoCellAnchor>
  <xdr:twoCellAnchor editAs="oneCell">
    <xdr:from>
      <xdr:col>8</xdr:col>
      <xdr:colOff>593765</xdr:colOff>
      <xdr:row>26</xdr:row>
      <xdr:rowOff>79170</xdr:rowOff>
    </xdr:from>
    <xdr:to>
      <xdr:col>9</xdr:col>
      <xdr:colOff>534389</xdr:colOff>
      <xdr:row>29</xdr:row>
      <xdr:rowOff>89066</xdr:rowOff>
    </xdr:to>
    <xdr:pic>
      <xdr:nvPicPr>
        <xdr:cNvPr id="39" name="Picture 38">
          <a:extLst>
            <a:ext uri="{FF2B5EF4-FFF2-40B4-BE49-F238E27FC236}">
              <a16:creationId xmlns:a16="http://schemas.microsoft.com/office/drawing/2014/main" id="{4F6DB236-98C4-8D80-E711-6F595A383083}"/>
            </a:ext>
          </a:extLst>
        </xdr:cNvPr>
        <xdr:cNvPicPr>
          <a:picLocks noChangeAspect="1"/>
        </xdr:cNvPicPr>
      </xdr:nvPicPr>
      <xdr:blipFill rotWithShape="1">
        <a:blip xmlns:r="http://schemas.openxmlformats.org/officeDocument/2006/relationships" r:embed="rId10" cstate="print">
          <a:extLst>
            <a:ext uri="{BEBA8EAE-BF5A-486C-A8C5-ECC9F3942E4B}">
              <a14:imgProps xmlns:a14="http://schemas.microsoft.com/office/drawing/2010/main">
                <a14:imgLayer r:embed="rId11">
                  <a14:imgEffect>
                    <a14:backgroundRemoval t="10000" b="90000" l="10000" r="90000">
                      <a14:foregroundMark x1="40417" y1="54074" x2="40833" y2="64815"/>
                      <a14:foregroundMark x1="47083" y1="45185" x2="47917" y2="61852"/>
                      <a14:foregroundMark x1="53542" y1="48519" x2="53542" y2="63333"/>
                      <a14:foregroundMark x1="59583" y1="41111" x2="59167" y2="57037"/>
                      <a14:foregroundMark x1="40625" y1="69259" x2="40625" y2="69259"/>
                    </a14:backgroundRemoval>
                  </a14:imgEffect>
                </a14:imgLayer>
              </a14:imgProps>
            </a:ext>
            <a:ext uri="{28A0092B-C50C-407E-A947-70E740481C1C}">
              <a14:useLocalDpi xmlns:a14="http://schemas.microsoft.com/office/drawing/2010/main" val="0"/>
            </a:ext>
          </a:extLst>
        </a:blip>
        <a:srcRect l="22331" r="23301" b="1786"/>
        <a:stretch>
          <a:fillRect/>
        </a:stretch>
      </xdr:blipFill>
      <xdr:spPr>
        <a:xfrm>
          <a:off x="5502233" y="4710547"/>
          <a:ext cx="554182" cy="544285"/>
        </a:xfrm>
        <a:prstGeom prst="rect">
          <a:avLst/>
        </a:prstGeom>
        <a:ln>
          <a:noFill/>
        </a:ln>
      </xdr:spPr>
    </xdr:pic>
    <xdr:clientData/>
  </xdr:twoCellAnchor>
  <xdr:twoCellAnchor editAs="oneCell">
    <xdr:from>
      <xdr:col>14</xdr:col>
      <xdr:colOff>475947</xdr:colOff>
      <xdr:row>27</xdr:row>
      <xdr:rowOff>10083</xdr:rowOff>
    </xdr:from>
    <xdr:to>
      <xdr:col>15</xdr:col>
      <xdr:colOff>208752</xdr:colOff>
      <xdr:row>28</xdr:row>
      <xdr:rowOff>129217</xdr:rowOff>
    </xdr:to>
    <xdr:pic>
      <xdr:nvPicPr>
        <xdr:cNvPr id="41" name="Graphic 40" descr="Dollar with solid fill">
          <a:extLst>
            <a:ext uri="{FF2B5EF4-FFF2-40B4-BE49-F238E27FC236}">
              <a16:creationId xmlns:a16="http://schemas.microsoft.com/office/drawing/2014/main" id="{60EB86A2-766A-3BFE-B848-2A52AC666F7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030475" y="4862441"/>
          <a:ext cx="343843" cy="298851"/>
        </a:xfrm>
        <a:prstGeom prst="rect">
          <a:avLst/>
        </a:prstGeom>
      </xdr:spPr>
    </xdr:pic>
    <xdr:clientData/>
  </xdr:twoCellAnchor>
  <xdr:twoCellAnchor editAs="oneCell">
    <xdr:from>
      <xdr:col>1</xdr:col>
      <xdr:colOff>554184</xdr:colOff>
      <xdr:row>16</xdr:row>
      <xdr:rowOff>68184</xdr:rowOff>
    </xdr:from>
    <xdr:to>
      <xdr:col>4</xdr:col>
      <xdr:colOff>261508</xdr:colOff>
      <xdr:row>26</xdr:row>
      <xdr:rowOff>108857</xdr:rowOff>
    </xdr:to>
    <mc:AlternateContent xmlns:mc="http://schemas.openxmlformats.org/markup-compatibility/2006" xmlns:a14="http://schemas.microsoft.com/office/drawing/2010/main">
      <mc:Choice Requires="a14">
        <xdr:graphicFrame macro="">
          <xdr:nvGraphicFramePr>
            <xdr:cNvPr id="42" name="Category 1">
              <a:extLst>
                <a:ext uri="{FF2B5EF4-FFF2-40B4-BE49-F238E27FC236}">
                  <a16:creationId xmlns:a16="http://schemas.microsoft.com/office/drawing/2014/main" id="{2A4F6061-7739-46C3-BF63-EAED95286FA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65222" y="2943656"/>
              <a:ext cx="1540437" cy="1837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267196</xdr:colOff>
      <xdr:row>26</xdr:row>
      <xdr:rowOff>158336</xdr:rowOff>
    </xdr:from>
    <xdr:to>
      <xdr:col>4</xdr:col>
      <xdr:colOff>158338</xdr:colOff>
      <xdr:row>29</xdr:row>
      <xdr:rowOff>128648</xdr:rowOff>
    </xdr:to>
    <xdr:pic>
      <xdr:nvPicPr>
        <xdr:cNvPr id="44" name="Graphic 43" descr="House with solid fill">
          <a:hlinkClick xmlns:r="http://schemas.openxmlformats.org/officeDocument/2006/relationships" r:id="rId14"/>
          <a:extLst>
            <a:ext uri="{FF2B5EF4-FFF2-40B4-BE49-F238E27FC236}">
              <a16:creationId xmlns:a16="http://schemas.microsoft.com/office/drawing/2014/main" id="{48D5D78A-DD9A-2BF8-B0E7-1EAD18B2BC5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07871" y="4789713"/>
          <a:ext cx="504701" cy="504701"/>
        </a:xfrm>
        <a:prstGeom prst="rect">
          <a:avLst/>
        </a:prstGeom>
      </xdr:spPr>
    </xdr:pic>
    <xdr:clientData/>
  </xdr:twoCellAnchor>
  <xdr:twoCellAnchor editAs="oneCell">
    <xdr:from>
      <xdr:col>2</xdr:col>
      <xdr:colOff>19793</xdr:colOff>
      <xdr:row>27</xdr:row>
      <xdr:rowOff>19794</xdr:rowOff>
    </xdr:from>
    <xdr:to>
      <xdr:col>2</xdr:col>
      <xdr:colOff>455222</xdr:colOff>
      <xdr:row>29</xdr:row>
      <xdr:rowOff>98963</xdr:rowOff>
    </xdr:to>
    <xdr:pic>
      <xdr:nvPicPr>
        <xdr:cNvPr id="46" name="Graphic 45" descr="Clipboard with solid fill">
          <a:extLst>
            <a:ext uri="{FF2B5EF4-FFF2-40B4-BE49-F238E27FC236}">
              <a16:creationId xmlns:a16="http://schemas.microsoft.com/office/drawing/2014/main" id="{D6BFD4D0-D723-1FD9-0913-2C7D1A8CC44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46910" y="4829300"/>
          <a:ext cx="435429" cy="435429"/>
        </a:xfrm>
        <a:prstGeom prst="rect">
          <a:avLst/>
        </a:prstGeom>
      </xdr:spPr>
    </xdr:pic>
    <xdr:clientData/>
  </xdr:twoCellAnchor>
  <xdr:twoCellAnchor>
    <xdr:from>
      <xdr:col>6</xdr:col>
      <xdr:colOff>524774</xdr:colOff>
      <xdr:row>26</xdr:row>
      <xdr:rowOff>143773</xdr:rowOff>
    </xdr:from>
    <xdr:to>
      <xdr:col>8</xdr:col>
      <xdr:colOff>582283</xdr:colOff>
      <xdr:row>29</xdr:row>
      <xdr:rowOff>79075</xdr:rowOff>
    </xdr:to>
    <xdr:sp macro="" textlink="Sheet3!L10">
      <xdr:nvSpPr>
        <xdr:cNvPr id="12" name="TextBox 11">
          <a:extLst>
            <a:ext uri="{FF2B5EF4-FFF2-40B4-BE49-F238E27FC236}">
              <a16:creationId xmlns:a16="http://schemas.microsoft.com/office/drawing/2014/main" id="{85B93391-6E78-774A-96B7-ABD529EF1BE3}"/>
            </a:ext>
          </a:extLst>
        </xdr:cNvPr>
        <xdr:cNvSpPr txBox="1"/>
      </xdr:nvSpPr>
      <xdr:spPr>
        <a:xfrm>
          <a:off x="4191000" y="4816415"/>
          <a:ext cx="1279585" cy="474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3042CF-A443-42CD-A9A5-C6663A2C3FCF}" type="TxLink">
            <a:rPr lang="en-US" sz="2000" b="1" i="0" u="none" strike="noStrike">
              <a:solidFill>
                <a:srgbClr val="000000"/>
              </a:solidFill>
              <a:effectLst/>
              <a:latin typeface="Calibri"/>
              <a:ea typeface="Calibri"/>
              <a:cs typeface="Calibri"/>
            </a:rPr>
            <a:pPr/>
            <a:t>6075.93k</a:t>
          </a:fld>
          <a:endParaRPr lang="en-IN" sz="2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xdr:colOff>
      <xdr:row>2</xdr:row>
      <xdr:rowOff>11430</xdr:rowOff>
    </xdr:from>
    <xdr:to>
      <xdr:col>9</xdr:col>
      <xdr:colOff>190500</xdr:colOff>
      <xdr:row>14</xdr:row>
      <xdr:rowOff>38100</xdr:rowOff>
    </xdr:to>
    <xdr:graphicFrame macro="">
      <xdr:nvGraphicFramePr>
        <xdr:cNvPr id="2" name="Chart 1">
          <a:extLst>
            <a:ext uri="{FF2B5EF4-FFF2-40B4-BE49-F238E27FC236}">
              <a16:creationId xmlns:a16="http://schemas.microsoft.com/office/drawing/2014/main" id="{1881C69E-77DE-C05D-549D-FE8917916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83820</xdr:colOff>
      <xdr:row>17</xdr:row>
      <xdr:rowOff>57150</xdr:rowOff>
    </xdr:from>
    <xdr:to>
      <xdr:col>8</xdr:col>
      <xdr:colOff>327660</xdr:colOff>
      <xdr:row>29</xdr:row>
      <xdr:rowOff>91440</xdr:rowOff>
    </xdr:to>
    <xdr:graphicFrame macro="">
      <xdr:nvGraphicFramePr>
        <xdr:cNvPr id="3" name="Chart 2">
          <a:extLst>
            <a:ext uri="{FF2B5EF4-FFF2-40B4-BE49-F238E27FC236}">
              <a16:creationId xmlns:a16="http://schemas.microsoft.com/office/drawing/2014/main" id="{20051597-BC3F-77D1-0C55-F121EEE1E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220980</xdr:colOff>
      <xdr:row>17</xdr:row>
      <xdr:rowOff>106680</xdr:rowOff>
    </xdr:from>
    <xdr:to>
      <xdr:col>12</xdr:col>
      <xdr:colOff>220980</xdr:colOff>
      <xdr:row>30</xdr:row>
      <xdr:rowOff>173355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756B09AB-6785-4811-110C-A8FFCE2BBD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70320" y="3261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91440</xdr:colOff>
      <xdr:row>31</xdr:row>
      <xdr:rowOff>60960</xdr:rowOff>
    </xdr:from>
    <xdr:to>
      <xdr:col>5</xdr:col>
      <xdr:colOff>403860</xdr:colOff>
      <xdr:row>41</xdr:row>
      <xdr:rowOff>152400</xdr:rowOff>
    </xdr:to>
    <xdr:graphicFrame macro="">
      <xdr:nvGraphicFramePr>
        <xdr:cNvPr id="7" name="Chart 6">
          <a:extLst>
            <a:ext uri="{FF2B5EF4-FFF2-40B4-BE49-F238E27FC236}">
              <a16:creationId xmlns:a16="http://schemas.microsoft.com/office/drawing/2014/main" id="{2A933206-5648-59E4-F79F-338DD2A30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114300</xdr:colOff>
      <xdr:row>42</xdr:row>
      <xdr:rowOff>26670</xdr:rowOff>
    </xdr:from>
    <xdr:to>
      <xdr:col>7</xdr:col>
      <xdr:colOff>167640</xdr:colOff>
      <xdr:row>53</xdr:row>
      <xdr:rowOff>91440</xdr:rowOff>
    </xdr:to>
    <xdr:graphicFrame macro="">
      <xdr:nvGraphicFramePr>
        <xdr:cNvPr id="8" name="Chart 7">
          <a:extLst>
            <a:ext uri="{FF2B5EF4-FFF2-40B4-BE49-F238E27FC236}">
              <a16:creationId xmlns:a16="http://schemas.microsoft.com/office/drawing/2014/main" id="{9A91B0F4-A0C1-6266-85BC-2CB156FA3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571500</xdr:colOff>
      <xdr:row>54</xdr:row>
      <xdr:rowOff>53340</xdr:rowOff>
    </xdr:from>
    <xdr:to>
      <xdr:col>7</xdr:col>
      <xdr:colOff>152400</xdr:colOff>
      <xdr:row>63</xdr:row>
      <xdr:rowOff>114300</xdr:rowOff>
    </xdr:to>
    <xdr:graphicFrame macro="">
      <xdr:nvGraphicFramePr>
        <xdr:cNvPr id="9" name="Chart 8">
          <a:extLst>
            <a:ext uri="{FF2B5EF4-FFF2-40B4-BE49-F238E27FC236}">
              <a16:creationId xmlns:a16="http://schemas.microsoft.com/office/drawing/2014/main" id="{41454125-E3E0-F368-5849-5D307EDD4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403860</xdr:colOff>
      <xdr:row>64</xdr:row>
      <xdr:rowOff>95250</xdr:rowOff>
    </xdr:from>
    <xdr:to>
      <xdr:col>8</xdr:col>
      <xdr:colOff>121920</xdr:colOff>
      <xdr:row>75</xdr:row>
      <xdr:rowOff>38100</xdr:rowOff>
    </xdr:to>
    <xdr:graphicFrame macro="">
      <xdr:nvGraphicFramePr>
        <xdr:cNvPr id="10" name="Chart 9">
          <a:extLst>
            <a:ext uri="{FF2B5EF4-FFF2-40B4-BE49-F238E27FC236}">
              <a16:creationId xmlns:a16="http://schemas.microsoft.com/office/drawing/2014/main" id="{EEE1B1C5-0120-56DC-2878-6A7D97591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441960</xdr:colOff>
      <xdr:row>5</xdr:row>
      <xdr:rowOff>53341</xdr:rowOff>
    </xdr:from>
    <xdr:to>
      <xdr:col>15</xdr:col>
      <xdr:colOff>441960</xdr:colOff>
      <xdr:row>15</xdr:row>
      <xdr:rowOff>175261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779D0D19-CFC4-DA72-1426-844548D6B4D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20100" y="990601"/>
              <a:ext cx="182880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4.485376157405" createdVersion="8" refreshedVersion="8" minRefreshableVersion="3" recordCount="300" xr:uid="{D291D7EF-192F-4820-BD82-3D12B26924DC}">
  <cacheSource type="worksheet">
    <worksheetSource name="sales_data_large__2"/>
  </cacheSource>
  <cacheFields count="12">
    <cacheField name="OrderID" numFmtId="0">
      <sharedItems containsSemiMixedTypes="0" containsString="0" containsNumber="1" containsInteger="1" minValue="1001" maxValue="1300"/>
    </cacheField>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cacheField>
    <cacheField name="Total"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Days (Date)" numFmtId="0" databaseField="0">
      <fieldGroup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479351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s v="Vikas"/>
    <x v="0"/>
    <x v="0"/>
    <s v="Mobile"/>
    <n v="1"/>
    <n v="13875"/>
    <x v="0"/>
    <n v="13875"/>
    <n v="2775"/>
  </r>
  <r>
    <n v="1002"/>
    <s v="Sneha"/>
    <x v="1"/>
    <x v="1"/>
    <s v="Shirt"/>
    <n v="6"/>
    <n v="2622"/>
    <x v="1"/>
    <n v="15732"/>
    <n v="524.4"/>
  </r>
  <r>
    <n v="1003"/>
    <s v="Anita"/>
    <x v="0"/>
    <x v="2"/>
    <s v="Fridge"/>
    <n v="5"/>
    <n v="49756"/>
    <x v="2"/>
    <n v="248780"/>
    <n v="9951.2000000000007"/>
  </r>
  <r>
    <n v="1004"/>
    <s v="Karan"/>
    <x v="0"/>
    <x v="3"/>
    <s v="Camera"/>
    <n v="4"/>
    <n v="41809"/>
    <x v="3"/>
    <n v="167236"/>
    <n v="8361.8000000000011"/>
  </r>
  <r>
    <n v="1005"/>
    <s v="Vikas"/>
    <x v="2"/>
    <x v="2"/>
    <s v="Fridge"/>
    <n v="3"/>
    <n v="17725"/>
    <x v="4"/>
    <n v="53175"/>
    <n v="3545"/>
  </r>
  <r>
    <n v="1006"/>
    <s v="Neha"/>
    <x v="0"/>
    <x v="3"/>
    <s v="Mobile"/>
    <n v="1"/>
    <n v="41760"/>
    <x v="5"/>
    <n v="41760"/>
    <n v="8352"/>
  </r>
  <r>
    <n v="1007"/>
    <s v="Ravi"/>
    <x v="3"/>
    <x v="0"/>
    <s v="Mobile"/>
    <n v="6"/>
    <n v="16646"/>
    <x v="6"/>
    <n v="99876"/>
    <n v="3329.2000000000003"/>
  </r>
  <r>
    <n v="1008"/>
    <s v="Vikas"/>
    <x v="3"/>
    <x v="3"/>
    <s v="Mobile"/>
    <n v="2"/>
    <n v="18029"/>
    <x v="7"/>
    <n v="36058"/>
    <n v="3605.8"/>
  </r>
  <r>
    <n v="1009"/>
    <s v="Anita"/>
    <x v="1"/>
    <x v="0"/>
    <s v="Microwave"/>
    <n v="8"/>
    <n v="30402"/>
    <x v="8"/>
    <n v="243216"/>
    <n v="6080.4000000000015"/>
  </r>
  <r>
    <n v="1010"/>
    <s v="Karan"/>
    <x v="0"/>
    <x v="3"/>
    <s v="Microwave"/>
    <n v="5"/>
    <n v="5263"/>
    <x v="9"/>
    <n v="26315"/>
    <n v="1052.6000000000001"/>
  </r>
  <r>
    <n v="1011"/>
    <s v="Sneha"/>
    <x v="1"/>
    <x v="0"/>
    <s v="Headphones"/>
    <n v="7"/>
    <n v="31987"/>
    <x v="10"/>
    <n v="223909"/>
    <n v="6397.4000000000015"/>
  </r>
  <r>
    <n v="1012"/>
    <s v="Anita"/>
    <x v="3"/>
    <x v="3"/>
    <s v="Headphones"/>
    <n v="2"/>
    <n v="47828"/>
    <x v="11"/>
    <n v="95656"/>
    <n v="9565.6"/>
  </r>
  <r>
    <n v="1013"/>
    <s v="Anita"/>
    <x v="0"/>
    <x v="1"/>
    <s v="Mobile"/>
    <n v="8"/>
    <n v="48924"/>
    <x v="12"/>
    <n v="391392"/>
    <n v="9784.8000000000011"/>
  </r>
  <r>
    <n v="1014"/>
    <s v="Ravi"/>
    <x v="0"/>
    <x v="3"/>
    <s v="Shirt"/>
    <n v="2"/>
    <n v="9646"/>
    <x v="13"/>
    <n v="19292"/>
    <n v="1929.2"/>
  </r>
  <r>
    <n v="1015"/>
    <s v="Pooja"/>
    <x v="1"/>
    <x v="3"/>
    <s v="Laptop"/>
    <n v="4"/>
    <n v="28529"/>
    <x v="14"/>
    <n v="114116"/>
    <n v="5705.8"/>
  </r>
  <r>
    <n v="1016"/>
    <s v="Karan"/>
    <x v="3"/>
    <x v="1"/>
    <s v="Microwave"/>
    <n v="1"/>
    <n v="12664"/>
    <x v="15"/>
    <n v="12664"/>
    <n v="2532.8000000000002"/>
  </r>
  <r>
    <n v="1017"/>
    <s v="Priya"/>
    <x v="0"/>
    <x v="2"/>
    <s v="Shirt"/>
    <n v="5"/>
    <n v="36737"/>
    <x v="16"/>
    <n v="183685"/>
    <n v="7347.4000000000015"/>
  </r>
  <r>
    <n v="1018"/>
    <s v="Anita"/>
    <x v="1"/>
    <x v="2"/>
    <s v="Jeans"/>
    <n v="9"/>
    <n v="36796"/>
    <x v="17"/>
    <n v="331164"/>
    <n v="7359.2000000000007"/>
  </r>
  <r>
    <n v="1019"/>
    <s v="Pooja"/>
    <x v="3"/>
    <x v="3"/>
    <s v="Microwave"/>
    <n v="1"/>
    <n v="25027"/>
    <x v="18"/>
    <n v="25027"/>
    <n v="5005.4000000000005"/>
  </r>
  <r>
    <n v="1020"/>
    <s v="Priya"/>
    <x v="1"/>
    <x v="1"/>
    <s v="Microwave"/>
    <n v="9"/>
    <n v="30373"/>
    <x v="19"/>
    <n v="273357"/>
    <n v="6074.6"/>
  </r>
  <r>
    <n v="1021"/>
    <s v="Karan"/>
    <x v="2"/>
    <x v="3"/>
    <s v="Headphones"/>
    <n v="8"/>
    <n v="37397"/>
    <x v="20"/>
    <n v="299176"/>
    <n v="7479.4000000000015"/>
  </r>
  <r>
    <n v="1022"/>
    <s v="Amit"/>
    <x v="0"/>
    <x v="0"/>
    <s v="Laptop"/>
    <n v="6"/>
    <n v="21609"/>
    <x v="21"/>
    <n v="129654"/>
    <n v="4321.8"/>
  </r>
  <r>
    <n v="1023"/>
    <s v="Neha"/>
    <x v="2"/>
    <x v="0"/>
    <s v="Laptop"/>
    <n v="7"/>
    <n v="36835"/>
    <x v="22"/>
    <n v="257845"/>
    <n v="7367"/>
  </r>
  <r>
    <n v="1024"/>
    <s v="Pooja"/>
    <x v="3"/>
    <x v="3"/>
    <s v="Camera"/>
    <n v="3"/>
    <n v="39709"/>
    <x v="23"/>
    <n v="119127"/>
    <n v="7941.8"/>
  </r>
  <r>
    <n v="1025"/>
    <s v="Deepak"/>
    <x v="2"/>
    <x v="2"/>
    <s v="Fridge"/>
    <n v="1"/>
    <n v="20250"/>
    <x v="24"/>
    <n v="20250"/>
    <n v="4050"/>
  </r>
  <r>
    <n v="1026"/>
    <s v="Amit"/>
    <x v="2"/>
    <x v="2"/>
    <s v="Fridge"/>
    <n v="5"/>
    <n v="22172"/>
    <x v="25"/>
    <n v="110860"/>
    <n v="4434.4000000000015"/>
  </r>
  <r>
    <n v="1027"/>
    <s v="Neha"/>
    <x v="3"/>
    <x v="3"/>
    <s v="Fridge"/>
    <n v="2"/>
    <n v="12555"/>
    <x v="26"/>
    <n v="25110"/>
    <n v="2511"/>
  </r>
  <r>
    <n v="1028"/>
    <s v="Ravi"/>
    <x v="1"/>
    <x v="3"/>
    <s v="Fridge"/>
    <n v="5"/>
    <n v="22874"/>
    <x v="27"/>
    <n v="114370"/>
    <n v="4574.8"/>
  </r>
  <r>
    <n v="1029"/>
    <s v="Vikas"/>
    <x v="2"/>
    <x v="0"/>
    <s v="Jeans"/>
    <n v="8"/>
    <n v="14081"/>
    <x v="28"/>
    <n v="112648"/>
    <n v="2816.2000000000003"/>
  </r>
  <r>
    <n v="1030"/>
    <s v="Sneha"/>
    <x v="1"/>
    <x v="2"/>
    <s v="Jeans"/>
    <n v="9"/>
    <n v="25063"/>
    <x v="29"/>
    <n v="225567"/>
    <n v="5012.6000000000004"/>
  </r>
  <r>
    <n v="1031"/>
    <s v="Deepak"/>
    <x v="2"/>
    <x v="3"/>
    <s v="Microwave"/>
    <n v="2"/>
    <n v="7819"/>
    <x v="30"/>
    <n v="15638"/>
    <n v="1563.8000000000002"/>
  </r>
  <r>
    <n v="1032"/>
    <s v="Ravi"/>
    <x v="1"/>
    <x v="0"/>
    <s v="Mobile"/>
    <n v="3"/>
    <n v="26712"/>
    <x v="31"/>
    <n v="80136"/>
    <n v="5342.4000000000015"/>
  </r>
  <r>
    <n v="1033"/>
    <s v="Karan"/>
    <x v="3"/>
    <x v="2"/>
    <s v="Headphones"/>
    <n v="3"/>
    <n v="25762"/>
    <x v="32"/>
    <n v="77286"/>
    <n v="5152.4000000000015"/>
  </r>
  <r>
    <n v="1034"/>
    <s v="Ravi"/>
    <x v="2"/>
    <x v="1"/>
    <s v="Headphones"/>
    <n v="1"/>
    <n v="12046"/>
    <x v="33"/>
    <n v="12046"/>
    <n v="2409.2000000000003"/>
  </r>
  <r>
    <n v="1035"/>
    <s v="Vikas"/>
    <x v="3"/>
    <x v="0"/>
    <s v="Fridge"/>
    <n v="8"/>
    <n v="32463"/>
    <x v="34"/>
    <n v="259704"/>
    <n v="6492.6"/>
  </r>
  <r>
    <n v="1036"/>
    <s v="Karan"/>
    <x v="2"/>
    <x v="2"/>
    <s v="Microwave"/>
    <n v="6"/>
    <n v="29769"/>
    <x v="35"/>
    <n v="178614"/>
    <n v="5953.8"/>
  </r>
  <r>
    <n v="1037"/>
    <s v="Deepak"/>
    <x v="3"/>
    <x v="2"/>
    <s v="Camera"/>
    <n v="8"/>
    <n v="24150"/>
    <x v="36"/>
    <n v="193200"/>
    <n v="4830"/>
  </r>
  <r>
    <n v="1038"/>
    <s v="Vikas"/>
    <x v="3"/>
    <x v="0"/>
    <s v="Shirt"/>
    <n v="9"/>
    <n v="3711"/>
    <x v="37"/>
    <n v="33399"/>
    <n v="742.2"/>
  </r>
  <r>
    <n v="1039"/>
    <s v="Priya"/>
    <x v="2"/>
    <x v="1"/>
    <s v="Mobile"/>
    <n v="5"/>
    <n v="5853"/>
    <x v="38"/>
    <n v="29265"/>
    <n v="1170.6000000000001"/>
  </r>
  <r>
    <n v="1040"/>
    <s v="Sneha"/>
    <x v="2"/>
    <x v="0"/>
    <s v="Microwave"/>
    <n v="3"/>
    <n v="30077"/>
    <x v="39"/>
    <n v="90231"/>
    <n v="6015.4000000000015"/>
  </r>
  <r>
    <n v="1041"/>
    <s v="Deepak"/>
    <x v="2"/>
    <x v="2"/>
    <s v="Mobile"/>
    <n v="5"/>
    <n v="24863"/>
    <x v="40"/>
    <n v="124315"/>
    <n v="4972.6000000000004"/>
  </r>
  <r>
    <n v="1042"/>
    <s v="Priya"/>
    <x v="0"/>
    <x v="3"/>
    <s v="Mobile"/>
    <n v="5"/>
    <n v="22792"/>
    <x v="41"/>
    <n v="113960"/>
    <n v="4558.4000000000015"/>
  </r>
  <r>
    <n v="1043"/>
    <s v="Neha"/>
    <x v="1"/>
    <x v="3"/>
    <s v="Mobile"/>
    <n v="5"/>
    <n v="41483"/>
    <x v="42"/>
    <n v="207415"/>
    <n v="8296.6"/>
  </r>
  <r>
    <n v="1044"/>
    <s v="Deepak"/>
    <x v="0"/>
    <x v="0"/>
    <s v="Microwave"/>
    <n v="3"/>
    <n v="9942"/>
    <x v="43"/>
    <n v="29826"/>
    <n v="1988.4"/>
  </r>
  <r>
    <n v="1045"/>
    <s v="Neha"/>
    <x v="0"/>
    <x v="2"/>
    <s v="Fridge"/>
    <n v="4"/>
    <n v="49275"/>
    <x v="44"/>
    <n v="197100"/>
    <n v="9855"/>
  </r>
  <r>
    <n v="1046"/>
    <s v="Karan"/>
    <x v="3"/>
    <x v="3"/>
    <s v="Headphones"/>
    <n v="9"/>
    <n v="49594"/>
    <x v="45"/>
    <n v="446346"/>
    <n v="9918.8000000000011"/>
  </r>
  <r>
    <n v="1047"/>
    <s v="Priya"/>
    <x v="2"/>
    <x v="2"/>
    <s v="Headphones"/>
    <n v="9"/>
    <n v="2762"/>
    <x v="46"/>
    <n v="24858"/>
    <n v="552.4"/>
  </r>
  <r>
    <n v="1048"/>
    <s v="Sneha"/>
    <x v="1"/>
    <x v="0"/>
    <s v="Fridge"/>
    <n v="2"/>
    <n v="32987"/>
    <x v="47"/>
    <n v="65974"/>
    <n v="6597.4000000000015"/>
  </r>
  <r>
    <n v="1049"/>
    <s v="Vikas"/>
    <x v="3"/>
    <x v="3"/>
    <s v="Mobile"/>
    <n v="8"/>
    <n v="16850"/>
    <x v="48"/>
    <n v="134800"/>
    <n v="3370"/>
  </r>
  <r>
    <n v="1050"/>
    <s v="Anita"/>
    <x v="0"/>
    <x v="2"/>
    <s v="Shirt"/>
    <n v="8"/>
    <n v="13112"/>
    <x v="49"/>
    <n v="104896"/>
    <n v="2622.4"/>
  </r>
  <r>
    <n v="1051"/>
    <s v="Ravi"/>
    <x v="2"/>
    <x v="3"/>
    <s v="Laptop"/>
    <n v="7"/>
    <n v="25058"/>
    <x v="50"/>
    <n v="175406"/>
    <n v="5011.6000000000004"/>
  </r>
  <r>
    <n v="1052"/>
    <s v="Amit"/>
    <x v="3"/>
    <x v="0"/>
    <s v="Microwave"/>
    <n v="8"/>
    <n v="46420"/>
    <x v="51"/>
    <n v="371360"/>
    <n v="9284"/>
  </r>
  <r>
    <n v="1053"/>
    <s v="Sneha"/>
    <x v="2"/>
    <x v="2"/>
    <s v="Laptop"/>
    <n v="3"/>
    <n v="39890"/>
    <x v="52"/>
    <n v="119670"/>
    <n v="7978"/>
  </r>
  <r>
    <n v="1054"/>
    <s v="Priya"/>
    <x v="3"/>
    <x v="3"/>
    <s v="Camera"/>
    <n v="6"/>
    <n v="1481"/>
    <x v="53"/>
    <n v="8886"/>
    <n v="296.2"/>
  </r>
  <r>
    <n v="1055"/>
    <s v="Anita"/>
    <x v="2"/>
    <x v="0"/>
    <s v="Fridge"/>
    <n v="1"/>
    <n v="48304"/>
    <x v="54"/>
    <n v="48304"/>
    <n v="9660.8000000000011"/>
  </r>
  <r>
    <n v="1056"/>
    <s v="Sneha"/>
    <x v="0"/>
    <x v="3"/>
    <s v="Shirt"/>
    <n v="7"/>
    <n v="33921"/>
    <x v="55"/>
    <n v="237447"/>
    <n v="6784.2000000000007"/>
  </r>
  <r>
    <n v="1057"/>
    <s v="Priya"/>
    <x v="1"/>
    <x v="3"/>
    <s v="Microwave"/>
    <n v="1"/>
    <n v="41385"/>
    <x v="56"/>
    <n v="41385"/>
    <n v="8277"/>
  </r>
  <r>
    <n v="1058"/>
    <s v="Pooja"/>
    <x v="0"/>
    <x v="1"/>
    <s v="Fridge"/>
    <n v="9"/>
    <n v="2524"/>
    <x v="57"/>
    <n v="22716"/>
    <n v="504.8"/>
  </r>
  <r>
    <n v="1059"/>
    <s v="Pooja"/>
    <x v="1"/>
    <x v="1"/>
    <s v="Mobile"/>
    <n v="1"/>
    <n v="35888"/>
    <x v="58"/>
    <n v="35888"/>
    <n v="7177.6"/>
  </r>
  <r>
    <n v="1060"/>
    <s v="Neha"/>
    <x v="2"/>
    <x v="0"/>
    <s v="Headphones"/>
    <n v="1"/>
    <n v="16048"/>
    <x v="59"/>
    <n v="16048"/>
    <n v="3209.6000000000004"/>
  </r>
  <r>
    <n v="1061"/>
    <s v="Sneha"/>
    <x v="3"/>
    <x v="1"/>
    <s v="Laptop"/>
    <n v="7"/>
    <n v="36111"/>
    <x v="60"/>
    <n v="252777"/>
    <n v="7222.2000000000007"/>
  </r>
  <r>
    <n v="1062"/>
    <s v="Pooja"/>
    <x v="0"/>
    <x v="0"/>
    <s v="Jeans"/>
    <n v="2"/>
    <n v="38904"/>
    <x v="61"/>
    <n v="77808"/>
    <n v="7780.8"/>
  </r>
  <r>
    <n v="1063"/>
    <s v="Priya"/>
    <x v="1"/>
    <x v="1"/>
    <s v="Jeans"/>
    <n v="5"/>
    <n v="35008"/>
    <x v="62"/>
    <n v="175040"/>
    <n v="7001.6"/>
  </r>
  <r>
    <n v="1064"/>
    <s v="Neha"/>
    <x v="0"/>
    <x v="3"/>
    <s v="Shirt"/>
    <n v="8"/>
    <n v="1060"/>
    <x v="63"/>
    <n v="8480"/>
    <n v="212"/>
  </r>
  <r>
    <n v="1065"/>
    <s v="Priya"/>
    <x v="1"/>
    <x v="0"/>
    <s v="Mobile"/>
    <n v="8"/>
    <n v="10130"/>
    <x v="64"/>
    <n v="81040"/>
    <n v="2026"/>
  </r>
  <r>
    <n v="1066"/>
    <s v="Neha"/>
    <x v="0"/>
    <x v="0"/>
    <s v="Camera"/>
    <n v="3"/>
    <n v="19023"/>
    <x v="65"/>
    <n v="57069"/>
    <n v="3804.6000000000004"/>
  </r>
  <r>
    <n v="1067"/>
    <s v="Sneha"/>
    <x v="1"/>
    <x v="3"/>
    <s v="Laptop"/>
    <n v="7"/>
    <n v="46080"/>
    <x v="66"/>
    <n v="322560"/>
    <n v="9216"/>
  </r>
  <r>
    <n v="1068"/>
    <s v="Anita"/>
    <x v="1"/>
    <x v="0"/>
    <s v="Mobile"/>
    <n v="3"/>
    <n v="14350"/>
    <x v="67"/>
    <n v="43050"/>
    <n v="2870"/>
  </r>
  <r>
    <n v="1069"/>
    <s v="Vikas"/>
    <x v="2"/>
    <x v="0"/>
    <s v="Laptop"/>
    <n v="6"/>
    <n v="25354"/>
    <x v="68"/>
    <n v="152124"/>
    <n v="5070.8"/>
  </r>
  <r>
    <n v="1070"/>
    <s v="Deepak"/>
    <x v="1"/>
    <x v="1"/>
    <s v="Shirt"/>
    <n v="6"/>
    <n v="46186"/>
    <x v="69"/>
    <n v="277116"/>
    <n v="9237.2000000000007"/>
  </r>
  <r>
    <n v="1071"/>
    <s v="Anita"/>
    <x v="2"/>
    <x v="0"/>
    <s v="Shirt"/>
    <n v="3"/>
    <n v="29145"/>
    <x v="70"/>
    <n v="87435"/>
    <n v="5829"/>
  </r>
  <r>
    <n v="1072"/>
    <s v="Karan"/>
    <x v="1"/>
    <x v="2"/>
    <s v="Camera"/>
    <n v="7"/>
    <n v="35020"/>
    <x v="71"/>
    <n v="245140"/>
    <n v="7004"/>
  </r>
  <r>
    <n v="1073"/>
    <s v="Priya"/>
    <x v="3"/>
    <x v="3"/>
    <s v="Jeans"/>
    <n v="3"/>
    <n v="21587"/>
    <x v="72"/>
    <n v="64761"/>
    <n v="4317.4000000000015"/>
  </r>
  <r>
    <n v="1074"/>
    <s v="Karan"/>
    <x v="3"/>
    <x v="1"/>
    <s v="Mobile"/>
    <n v="8"/>
    <n v="42131"/>
    <x v="73"/>
    <n v="337048"/>
    <n v="8426.2000000000007"/>
  </r>
  <r>
    <n v="1075"/>
    <s v="Anita"/>
    <x v="3"/>
    <x v="1"/>
    <s v="Microwave"/>
    <n v="4"/>
    <n v="10650"/>
    <x v="74"/>
    <n v="42600"/>
    <n v="2130"/>
  </r>
  <r>
    <n v="1076"/>
    <s v="Neha"/>
    <x v="1"/>
    <x v="2"/>
    <s v="Jeans"/>
    <n v="1"/>
    <n v="20933"/>
    <x v="75"/>
    <n v="20933"/>
    <n v="4186.6000000000004"/>
  </r>
  <r>
    <n v="1077"/>
    <s v="Deepak"/>
    <x v="2"/>
    <x v="3"/>
    <s v="Mobile"/>
    <n v="4"/>
    <n v="21581"/>
    <x v="76"/>
    <n v="86324"/>
    <n v="4316.2"/>
  </r>
  <r>
    <n v="1078"/>
    <s v="Deepak"/>
    <x v="2"/>
    <x v="3"/>
    <s v="Jeans"/>
    <n v="7"/>
    <n v="24393"/>
    <x v="77"/>
    <n v="170751"/>
    <n v="4878.6000000000004"/>
  </r>
  <r>
    <n v="1079"/>
    <s v="Amit"/>
    <x v="1"/>
    <x v="1"/>
    <s v="Microwave"/>
    <n v="4"/>
    <n v="24051"/>
    <x v="78"/>
    <n v="96204"/>
    <n v="4810.2"/>
  </r>
  <r>
    <n v="1080"/>
    <s v="Deepak"/>
    <x v="3"/>
    <x v="0"/>
    <s v="Headphones"/>
    <n v="6"/>
    <n v="27212"/>
    <x v="79"/>
    <n v="163272"/>
    <n v="5442.4000000000015"/>
  </r>
  <r>
    <n v="1081"/>
    <s v="Vikas"/>
    <x v="3"/>
    <x v="1"/>
    <s v="Headphones"/>
    <n v="9"/>
    <n v="5090"/>
    <x v="80"/>
    <n v="45810"/>
    <n v="1018"/>
  </r>
  <r>
    <n v="1082"/>
    <s v="Deepak"/>
    <x v="2"/>
    <x v="3"/>
    <s v="Camera"/>
    <n v="1"/>
    <n v="7960"/>
    <x v="81"/>
    <n v="7960"/>
    <n v="1592"/>
  </r>
  <r>
    <n v="1083"/>
    <s v="Anita"/>
    <x v="3"/>
    <x v="2"/>
    <s v="Headphones"/>
    <n v="5"/>
    <n v="36772"/>
    <x v="82"/>
    <n v="183860"/>
    <n v="7354.4000000000015"/>
  </r>
  <r>
    <n v="1084"/>
    <s v="Amit"/>
    <x v="0"/>
    <x v="1"/>
    <s v="Headphones"/>
    <n v="7"/>
    <n v="22520"/>
    <x v="83"/>
    <n v="157640"/>
    <n v="4504"/>
  </r>
  <r>
    <n v="1085"/>
    <s v="Anita"/>
    <x v="2"/>
    <x v="3"/>
    <s v="Fridge"/>
    <n v="1"/>
    <n v="37408"/>
    <x v="84"/>
    <n v="37408"/>
    <n v="7481.6"/>
  </r>
  <r>
    <n v="1086"/>
    <s v="Anita"/>
    <x v="3"/>
    <x v="1"/>
    <s v="Laptop"/>
    <n v="4"/>
    <n v="29470"/>
    <x v="85"/>
    <n v="117880"/>
    <n v="5894"/>
  </r>
  <r>
    <n v="1087"/>
    <s v="Ravi"/>
    <x v="2"/>
    <x v="0"/>
    <s v="Fridge"/>
    <n v="6"/>
    <n v="21491"/>
    <x v="86"/>
    <n v="128946"/>
    <n v="4298.2"/>
  </r>
  <r>
    <n v="1088"/>
    <s v="Amit"/>
    <x v="0"/>
    <x v="1"/>
    <s v="Fridge"/>
    <n v="2"/>
    <n v="2341"/>
    <x v="87"/>
    <n v="4682"/>
    <n v="468.20000000000005"/>
  </r>
  <r>
    <n v="1089"/>
    <s v="Anita"/>
    <x v="2"/>
    <x v="1"/>
    <s v="Camera"/>
    <n v="5"/>
    <n v="45623"/>
    <x v="88"/>
    <n v="228115"/>
    <n v="9124.6"/>
  </r>
  <r>
    <n v="1090"/>
    <s v="Ravi"/>
    <x v="2"/>
    <x v="3"/>
    <s v="Fridge"/>
    <n v="1"/>
    <n v="25791"/>
    <x v="89"/>
    <n v="25791"/>
    <n v="5158.2000000000007"/>
  </r>
  <r>
    <n v="1091"/>
    <s v="Ravi"/>
    <x v="2"/>
    <x v="3"/>
    <s v="Headphones"/>
    <n v="6"/>
    <n v="1338"/>
    <x v="90"/>
    <n v="8028"/>
    <n v="267.60000000000002"/>
  </r>
  <r>
    <n v="1092"/>
    <s v="Amit"/>
    <x v="2"/>
    <x v="3"/>
    <s v="Microwave"/>
    <n v="6"/>
    <n v="6895"/>
    <x v="91"/>
    <n v="41370"/>
    <n v="1379"/>
  </r>
  <r>
    <n v="1093"/>
    <s v="Karan"/>
    <x v="0"/>
    <x v="1"/>
    <s v="Camera"/>
    <n v="4"/>
    <n v="13254"/>
    <x v="92"/>
    <n v="53016"/>
    <n v="2650.8"/>
  </r>
  <r>
    <n v="1094"/>
    <s v="Neha"/>
    <x v="1"/>
    <x v="0"/>
    <s v="Camera"/>
    <n v="8"/>
    <n v="12344"/>
    <x v="93"/>
    <n v="98752"/>
    <n v="2468.8000000000002"/>
  </r>
  <r>
    <n v="1095"/>
    <s v="Vikas"/>
    <x v="2"/>
    <x v="2"/>
    <s v="Shirt"/>
    <n v="4"/>
    <n v="2750"/>
    <x v="94"/>
    <n v="11000"/>
    <n v="550"/>
  </r>
  <r>
    <n v="1096"/>
    <s v="Neha"/>
    <x v="2"/>
    <x v="2"/>
    <s v="Camera"/>
    <n v="8"/>
    <n v="3421"/>
    <x v="95"/>
    <n v="27368"/>
    <n v="684.2"/>
  </r>
  <r>
    <n v="1097"/>
    <s v="Deepak"/>
    <x v="3"/>
    <x v="3"/>
    <s v="Shirt"/>
    <n v="8"/>
    <n v="40887"/>
    <x v="96"/>
    <n v="327096"/>
    <n v="8177.4000000000015"/>
  </r>
  <r>
    <n v="1098"/>
    <s v="Vikas"/>
    <x v="2"/>
    <x v="3"/>
    <s v="Camera"/>
    <n v="5"/>
    <n v="6319"/>
    <x v="97"/>
    <n v="31595"/>
    <n v="1263.8000000000002"/>
  </r>
  <r>
    <n v="1099"/>
    <s v="Deepak"/>
    <x v="3"/>
    <x v="1"/>
    <s v="Laptop"/>
    <n v="4"/>
    <n v="16896"/>
    <x v="98"/>
    <n v="67584"/>
    <n v="3379.2000000000003"/>
  </r>
  <r>
    <n v="1100"/>
    <s v="Anita"/>
    <x v="1"/>
    <x v="2"/>
    <s v="Headphones"/>
    <n v="2"/>
    <n v="12918"/>
    <x v="99"/>
    <n v="25836"/>
    <n v="2583.6000000000004"/>
  </r>
  <r>
    <n v="1101"/>
    <s v="Priya"/>
    <x v="0"/>
    <x v="3"/>
    <s v="Camera"/>
    <n v="3"/>
    <n v="26064"/>
    <x v="100"/>
    <n v="78192"/>
    <n v="5212.8"/>
  </r>
  <r>
    <n v="1102"/>
    <s v="Amit"/>
    <x v="0"/>
    <x v="0"/>
    <s v="Headphones"/>
    <n v="3"/>
    <n v="47617"/>
    <x v="101"/>
    <n v="142851"/>
    <n v="9523.4"/>
  </r>
  <r>
    <n v="1103"/>
    <s v="Vikas"/>
    <x v="1"/>
    <x v="0"/>
    <s v="Headphones"/>
    <n v="4"/>
    <n v="28935"/>
    <x v="102"/>
    <n v="115740"/>
    <n v="5787"/>
  </r>
  <r>
    <n v="1104"/>
    <s v="Vikas"/>
    <x v="0"/>
    <x v="3"/>
    <s v="Jeans"/>
    <n v="4"/>
    <n v="38641"/>
    <x v="103"/>
    <n v="154564"/>
    <n v="7728.2000000000007"/>
  </r>
  <r>
    <n v="1105"/>
    <s v="Anita"/>
    <x v="1"/>
    <x v="3"/>
    <s v="Camera"/>
    <n v="5"/>
    <n v="30711"/>
    <x v="104"/>
    <n v="153555"/>
    <n v="6142.2000000000007"/>
  </r>
  <r>
    <n v="1106"/>
    <s v="Karan"/>
    <x v="1"/>
    <x v="2"/>
    <s v="Mobile"/>
    <n v="4"/>
    <n v="5806"/>
    <x v="105"/>
    <n v="23224"/>
    <n v="1161.2"/>
  </r>
  <r>
    <n v="1107"/>
    <s v="Ravi"/>
    <x v="1"/>
    <x v="2"/>
    <s v="Jeans"/>
    <n v="8"/>
    <n v="42360"/>
    <x v="106"/>
    <n v="338880"/>
    <n v="8472"/>
  </r>
  <r>
    <n v="1108"/>
    <s v="Anita"/>
    <x v="0"/>
    <x v="1"/>
    <s v="Mobile"/>
    <n v="6"/>
    <n v="13182"/>
    <x v="107"/>
    <n v="79092"/>
    <n v="2636.4"/>
  </r>
  <r>
    <n v="1109"/>
    <s v="Pooja"/>
    <x v="3"/>
    <x v="2"/>
    <s v="Headphones"/>
    <n v="6"/>
    <n v="23297"/>
    <x v="108"/>
    <n v="139782"/>
    <n v="4659.4000000000015"/>
  </r>
  <r>
    <n v="1110"/>
    <s v="Ravi"/>
    <x v="1"/>
    <x v="0"/>
    <s v="Headphones"/>
    <n v="8"/>
    <n v="20541"/>
    <x v="109"/>
    <n v="164328"/>
    <n v="4108.2"/>
  </r>
  <r>
    <n v="1111"/>
    <s v="Amit"/>
    <x v="2"/>
    <x v="0"/>
    <s v="Jeans"/>
    <n v="7"/>
    <n v="29921"/>
    <x v="110"/>
    <n v="209447"/>
    <n v="5984.2000000000007"/>
  </r>
  <r>
    <n v="1112"/>
    <s v="Ravi"/>
    <x v="0"/>
    <x v="3"/>
    <s v="Jeans"/>
    <n v="8"/>
    <n v="17774"/>
    <x v="111"/>
    <n v="142192"/>
    <n v="3554.8"/>
  </r>
  <r>
    <n v="1113"/>
    <s v="Karan"/>
    <x v="1"/>
    <x v="2"/>
    <s v="Mobile"/>
    <n v="2"/>
    <n v="45813"/>
    <x v="112"/>
    <n v="91626"/>
    <n v="9162.6"/>
  </r>
  <r>
    <n v="1114"/>
    <s v="Ravi"/>
    <x v="1"/>
    <x v="1"/>
    <s v="Shirt"/>
    <n v="9"/>
    <n v="38198"/>
    <x v="113"/>
    <n v="343782"/>
    <n v="7639.6"/>
  </r>
  <r>
    <n v="1115"/>
    <s v="Amit"/>
    <x v="2"/>
    <x v="0"/>
    <s v="Mobile"/>
    <n v="1"/>
    <n v="9820"/>
    <x v="114"/>
    <n v="9820"/>
    <n v="1964"/>
  </r>
  <r>
    <n v="1116"/>
    <s v="Karan"/>
    <x v="3"/>
    <x v="0"/>
    <s v="Jeans"/>
    <n v="8"/>
    <n v="25070"/>
    <x v="115"/>
    <n v="200560"/>
    <n v="5014"/>
  </r>
  <r>
    <n v="1117"/>
    <s v="Neha"/>
    <x v="3"/>
    <x v="1"/>
    <s v="Microwave"/>
    <n v="4"/>
    <n v="5232"/>
    <x v="116"/>
    <n v="20928"/>
    <n v="1046.4000000000001"/>
  </r>
  <r>
    <n v="1118"/>
    <s v="Vikas"/>
    <x v="3"/>
    <x v="1"/>
    <s v="Jeans"/>
    <n v="4"/>
    <n v="12122"/>
    <x v="117"/>
    <n v="48488"/>
    <n v="2424.4"/>
  </r>
  <r>
    <n v="1119"/>
    <s v="Vikas"/>
    <x v="1"/>
    <x v="0"/>
    <s v="Microwave"/>
    <n v="5"/>
    <n v="16023"/>
    <x v="118"/>
    <n v="80115"/>
    <n v="3204.6000000000004"/>
  </r>
  <r>
    <n v="1120"/>
    <s v="Deepak"/>
    <x v="1"/>
    <x v="0"/>
    <s v="Laptop"/>
    <n v="8"/>
    <n v="9007"/>
    <x v="119"/>
    <n v="72056"/>
    <n v="1801.4"/>
  </r>
  <r>
    <n v="1121"/>
    <s v="Neha"/>
    <x v="1"/>
    <x v="1"/>
    <s v="Jeans"/>
    <n v="5"/>
    <n v="18905"/>
    <x v="120"/>
    <n v="94525"/>
    <n v="3781"/>
  </r>
  <r>
    <n v="1122"/>
    <s v="Neha"/>
    <x v="0"/>
    <x v="0"/>
    <s v="Laptop"/>
    <n v="8"/>
    <n v="42786"/>
    <x v="121"/>
    <n v="342288"/>
    <n v="8557.2000000000007"/>
  </r>
  <r>
    <n v="1123"/>
    <s v="Ravi"/>
    <x v="2"/>
    <x v="3"/>
    <s v="Shirt"/>
    <n v="1"/>
    <n v="30398"/>
    <x v="122"/>
    <n v="30398"/>
    <n v="6079.6"/>
  </r>
  <r>
    <n v="1124"/>
    <s v="Vikas"/>
    <x v="1"/>
    <x v="3"/>
    <s v="Mobile"/>
    <n v="9"/>
    <n v="35268"/>
    <x v="123"/>
    <n v="317412"/>
    <n v="7053.6"/>
  </r>
  <r>
    <n v="1125"/>
    <s v="Amit"/>
    <x v="2"/>
    <x v="1"/>
    <s v="Microwave"/>
    <n v="6"/>
    <n v="7737"/>
    <x v="124"/>
    <n v="46422"/>
    <n v="1547.4"/>
  </r>
  <r>
    <n v="1126"/>
    <s v="Sneha"/>
    <x v="2"/>
    <x v="2"/>
    <s v="Mobile"/>
    <n v="3"/>
    <n v="37062"/>
    <x v="125"/>
    <n v="111186"/>
    <n v="7412.4000000000015"/>
  </r>
  <r>
    <n v="1127"/>
    <s v="Sneha"/>
    <x v="3"/>
    <x v="1"/>
    <s v="Laptop"/>
    <n v="8"/>
    <n v="26510"/>
    <x v="126"/>
    <n v="212080"/>
    <n v="5302"/>
  </r>
  <r>
    <n v="1128"/>
    <s v="Karan"/>
    <x v="0"/>
    <x v="1"/>
    <s v="Microwave"/>
    <n v="9"/>
    <n v="20426"/>
    <x v="127"/>
    <n v="183834"/>
    <n v="4085.2000000000003"/>
  </r>
  <r>
    <n v="1129"/>
    <s v="Vikas"/>
    <x v="1"/>
    <x v="2"/>
    <s v="Mobile"/>
    <n v="6"/>
    <n v="38265"/>
    <x v="128"/>
    <n v="229590"/>
    <n v="7653"/>
  </r>
  <r>
    <n v="1130"/>
    <s v="Vikas"/>
    <x v="3"/>
    <x v="2"/>
    <s v="Jeans"/>
    <n v="7"/>
    <n v="18850"/>
    <x v="129"/>
    <n v="131950"/>
    <n v="3770"/>
  </r>
  <r>
    <n v="1131"/>
    <s v="Sneha"/>
    <x v="3"/>
    <x v="2"/>
    <s v="Headphones"/>
    <n v="1"/>
    <n v="1614"/>
    <x v="130"/>
    <n v="1614"/>
    <n v="322.8"/>
  </r>
  <r>
    <n v="1132"/>
    <s v="Vikas"/>
    <x v="1"/>
    <x v="3"/>
    <s v="Laptop"/>
    <n v="5"/>
    <n v="22776"/>
    <x v="131"/>
    <n v="113880"/>
    <n v="4555.2"/>
  </r>
  <r>
    <n v="1133"/>
    <s v="Ravi"/>
    <x v="2"/>
    <x v="0"/>
    <s v="Mobile"/>
    <n v="5"/>
    <n v="25077"/>
    <x v="132"/>
    <n v="125385"/>
    <n v="5015.4000000000015"/>
  </r>
  <r>
    <n v="1134"/>
    <s v="Pooja"/>
    <x v="3"/>
    <x v="3"/>
    <s v="Laptop"/>
    <n v="4"/>
    <n v="10374"/>
    <x v="133"/>
    <n v="41496"/>
    <n v="2074.8000000000002"/>
  </r>
  <r>
    <n v="1135"/>
    <s v="Priya"/>
    <x v="2"/>
    <x v="0"/>
    <s v="Fridge"/>
    <n v="6"/>
    <n v="36435"/>
    <x v="134"/>
    <n v="218610"/>
    <n v="7287"/>
  </r>
  <r>
    <n v="1136"/>
    <s v="Neha"/>
    <x v="0"/>
    <x v="3"/>
    <s v="Laptop"/>
    <n v="7"/>
    <n v="31907"/>
    <x v="135"/>
    <n v="223349"/>
    <n v="6381.4000000000015"/>
  </r>
  <r>
    <n v="1137"/>
    <s v="Deepak"/>
    <x v="2"/>
    <x v="0"/>
    <s v="Microwave"/>
    <n v="9"/>
    <n v="14409"/>
    <x v="136"/>
    <n v="129681"/>
    <n v="2881.8"/>
  </r>
  <r>
    <n v="1138"/>
    <s v="Karan"/>
    <x v="0"/>
    <x v="3"/>
    <s v="Fridge"/>
    <n v="1"/>
    <n v="17514"/>
    <x v="137"/>
    <n v="17514"/>
    <n v="3502.8"/>
  </r>
  <r>
    <n v="1139"/>
    <s v="Pooja"/>
    <x v="2"/>
    <x v="2"/>
    <s v="Camera"/>
    <n v="6"/>
    <n v="30866"/>
    <x v="138"/>
    <n v="185196"/>
    <n v="6173.2000000000007"/>
  </r>
  <r>
    <n v="1140"/>
    <s v="Sneha"/>
    <x v="3"/>
    <x v="1"/>
    <s v="Microwave"/>
    <n v="7"/>
    <n v="3983"/>
    <x v="139"/>
    <n v="27881"/>
    <n v="796.6"/>
  </r>
  <r>
    <n v="1141"/>
    <s v="Neha"/>
    <x v="3"/>
    <x v="3"/>
    <s v="Headphones"/>
    <n v="3"/>
    <n v="32705"/>
    <x v="140"/>
    <n v="98115"/>
    <n v="6541"/>
  </r>
  <r>
    <n v="1142"/>
    <s v="Vikas"/>
    <x v="0"/>
    <x v="0"/>
    <s v="Fridge"/>
    <n v="8"/>
    <n v="21662"/>
    <x v="141"/>
    <n v="173296"/>
    <n v="4332.4000000000015"/>
  </r>
  <r>
    <n v="1143"/>
    <s v="Deepak"/>
    <x v="1"/>
    <x v="2"/>
    <s v="Camera"/>
    <n v="5"/>
    <n v="24510"/>
    <x v="142"/>
    <n v="122550"/>
    <n v="4902"/>
  </r>
  <r>
    <n v="1144"/>
    <s v="Vikas"/>
    <x v="0"/>
    <x v="3"/>
    <s v="Jeans"/>
    <n v="9"/>
    <n v="13651"/>
    <x v="143"/>
    <n v="122859"/>
    <n v="2730.2000000000003"/>
  </r>
  <r>
    <n v="1145"/>
    <s v="Amit"/>
    <x v="0"/>
    <x v="3"/>
    <s v="Laptop"/>
    <n v="5"/>
    <n v="41998"/>
    <x v="144"/>
    <n v="209990"/>
    <n v="8399.6"/>
  </r>
  <r>
    <n v="1146"/>
    <s v="Amit"/>
    <x v="2"/>
    <x v="2"/>
    <s v="Mobile"/>
    <n v="9"/>
    <n v="29535"/>
    <x v="145"/>
    <n v="265815"/>
    <n v="5907"/>
  </r>
  <r>
    <n v="1147"/>
    <s v="Deepak"/>
    <x v="2"/>
    <x v="3"/>
    <s v="Shirt"/>
    <n v="4"/>
    <n v="7640"/>
    <x v="146"/>
    <n v="30560"/>
    <n v="1528"/>
  </r>
  <r>
    <n v="1148"/>
    <s v="Deepak"/>
    <x v="0"/>
    <x v="1"/>
    <s v="Laptop"/>
    <n v="9"/>
    <n v="45547"/>
    <x v="147"/>
    <n v="409923"/>
    <n v="9109.4"/>
  </r>
  <r>
    <n v="1149"/>
    <s v="Sneha"/>
    <x v="3"/>
    <x v="3"/>
    <s v="Camera"/>
    <n v="5"/>
    <n v="16317"/>
    <x v="148"/>
    <n v="81585"/>
    <n v="3263.4"/>
  </r>
  <r>
    <n v="1150"/>
    <s v="Deepak"/>
    <x v="2"/>
    <x v="1"/>
    <s v="Laptop"/>
    <n v="9"/>
    <n v="8564"/>
    <x v="149"/>
    <n v="77076"/>
    <n v="1712.8000000000002"/>
  </r>
  <r>
    <n v="1151"/>
    <s v="Ravi"/>
    <x v="1"/>
    <x v="1"/>
    <s v="Headphones"/>
    <n v="3"/>
    <n v="28345"/>
    <x v="150"/>
    <n v="85035"/>
    <n v="5669"/>
  </r>
  <r>
    <n v="1152"/>
    <s v="Vikas"/>
    <x v="2"/>
    <x v="2"/>
    <s v="Jeans"/>
    <n v="4"/>
    <n v="49288"/>
    <x v="151"/>
    <n v="197152"/>
    <n v="9857.6"/>
  </r>
  <r>
    <n v="1153"/>
    <s v="Pooja"/>
    <x v="2"/>
    <x v="3"/>
    <s v="Shirt"/>
    <n v="9"/>
    <n v="29687"/>
    <x v="152"/>
    <n v="267183"/>
    <n v="5937.4000000000015"/>
  </r>
  <r>
    <n v="1154"/>
    <s v="Anita"/>
    <x v="1"/>
    <x v="2"/>
    <s v="Fridge"/>
    <n v="6"/>
    <n v="14737"/>
    <x v="153"/>
    <n v="88422"/>
    <n v="2947.4"/>
  </r>
  <r>
    <n v="1155"/>
    <s v="Deepak"/>
    <x v="0"/>
    <x v="3"/>
    <s v="Fridge"/>
    <n v="2"/>
    <n v="10323"/>
    <x v="154"/>
    <n v="20646"/>
    <n v="2064.6"/>
  </r>
  <r>
    <n v="1156"/>
    <s v="Karan"/>
    <x v="1"/>
    <x v="3"/>
    <s v="Fridge"/>
    <n v="7"/>
    <n v="16229"/>
    <x v="155"/>
    <n v="113603"/>
    <n v="3245.8"/>
  </r>
  <r>
    <n v="1157"/>
    <s v="Amit"/>
    <x v="0"/>
    <x v="0"/>
    <s v="Camera"/>
    <n v="2"/>
    <n v="45481"/>
    <x v="156"/>
    <n v="90962"/>
    <n v="9096.2000000000007"/>
  </r>
  <r>
    <n v="1158"/>
    <s v="Ravi"/>
    <x v="0"/>
    <x v="3"/>
    <s v="Microwave"/>
    <n v="2"/>
    <n v="9502"/>
    <x v="157"/>
    <n v="19004"/>
    <n v="1900.4"/>
  </r>
  <r>
    <n v="1159"/>
    <s v="Neha"/>
    <x v="0"/>
    <x v="2"/>
    <s v="Microwave"/>
    <n v="1"/>
    <n v="1545"/>
    <x v="158"/>
    <n v="1545"/>
    <n v="309"/>
  </r>
  <r>
    <n v="1160"/>
    <s v="Anita"/>
    <x v="1"/>
    <x v="1"/>
    <s v="Mobile"/>
    <n v="3"/>
    <n v="38114"/>
    <x v="159"/>
    <n v="114342"/>
    <n v="7622.8"/>
  </r>
  <r>
    <n v="1161"/>
    <s v="Pooja"/>
    <x v="0"/>
    <x v="3"/>
    <s v="Shirt"/>
    <n v="6"/>
    <n v="30430"/>
    <x v="160"/>
    <n v="182580"/>
    <n v="6086"/>
  </r>
  <r>
    <n v="1162"/>
    <s v="Anita"/>
    <x v="3"/>
    <x v="0"/>
    <s v="Fridge"/>
    <n v="8"/>
    <n v="10996"/>
    <x v="161"/>
    <n v="87968"/>
    <n v="2199.2000000000003"/>
  </r>
  <r>
    <n v="1163"/>
    <s v="Deepak"/>
    <x v="1"/>
    <x v="2"/>
    <s v="Microwave"/>
    <n v="9"/>
    <n v="28788"/>
    <x v="162"/>
    <n v="259092"/>
    <n v="5757.6"/>
  </r>
  <r>
    <n v="1164"/>
    <s v="Sneha"/>
    <x v="3"/>
    <x v="3"/>
    <s v="Camera"/>
    <n v="7"/>
    <n v="30969"/>
    <x v="163"/>
    <n v="216783"/>
    <n v="6193.8"/>
  </r>
  <r>
    <n v="1165"/>
    <s v="Amit"/>
    <x v="0"/>
    <x v="2"/>
    <s v="Mobile"/>
    <n v="4"/>
    <n v="49543"/>
    <x v="164"/>
    <n v="198172"/>
    <n v="9908.6"/>
  </r>
  <r>
    <n v="1166"/>
    <s v="Amit"/>
    <x v="2"/>
    <x v="0"/>
    <s v="Jeans"/>
    <n v="6"/>
    <n v="14919"/>
    <x v="165"/>
    <n v="89514"/>
    <n v="2983.8"/>
  </r>
  <r>
    <n v="1167"/>
    <s v="Neha"/>
    <x v="0"/>
    <x v="0"/>
    <s v="Mobile"/>
    <n v="5"/>
    <n v="4810"/>
    <x v="166"/>
    <n v="24050"/>
    <n v="962"/>
  </r>
  <r>
    <n v="1168"/>
    <s v="Sneha"/>
    <x v="3"/>
    <x v="2"/>
    <s v="Microwave"/>
    <n v="8"/>
    <n v="31586"/>
    <x v="167"/>
    <n v="252688"/>
    <n v="6317.2000000000007"/>
  </r>
  <r>
    <n v="1169"/>
    <s v="Vikas"/>
    <x v="3"/>
    <x v="3"/>
    <s v="Headphones"/>
    <n v="1"/>
    <n v="40974"/>
    <x v="168"/>
    <n v="40974"/>
    <n v="8194.8000000000011"/>
  </r>
  <r>
    <n v="1170"/>
    <s v="Priya"/>
    <x v="1"/>
    <x v="1"/>
    <s v="Camera"/>
    <n v="1"/>
    <n v="42773"/>
    <x v="169"/>
    <n v="42773"/>
    <n v="8554.6"/>
  </r>
  <r>
    <n v="1171"/>
    <s v="Ravi"/>
    <x v="2"/>
    <x v="0"/>
    <s v="Headphones"/>
    <n v="6"/>
    <n v="17371"/>
    <x v="170"/>
    <n v="104226"/>
    <n v="3474.2000000000003"/>
  </r>
  <r>
    <n v="1172"/>
    <s v="Amit"/>
    <x v="1"/>
    <x v="3"/>
    <s v="Fridge"/>
    <n v="2"/>
    <n v="46084"/>
    <x v="171"/>
    <n v="92168"/>
    <n v="9216.8000000000011"/>
  </r>
  <r>
    <n v="1173"/>
    <s v="Karan"/>
    <x v="3"/>
    <x v="3"/>
    <s v="Headphones"/>
    <n v="5"/>
    <n v="30629"/>
    <x v="172"/>
    <n v="153145"/>
    <n v="6125.8"/>
  </r>
  <r>
    <n v="1174"/>
    <s v="Amit"/>
    <x v="0"/>
    <x v="1"/>
    <s v="Fridge"/>
    <n v="1"/>
    <n v="9436"/>
    <x v="173"/>
    <n v="9436"/>
    <n v="1887.2"/>
  </r>
  <r>
    <n v="1175"/>
    <s v="Anita"/>
    <x v="2"/>
    <x v="0"/>
    <s v="Fridge"/>
    <n v="7"/>
    <n v="13984"/>
    <x v="174"/>
    <n v="97888"/>
    <n v="2796.8"/>
  </r>
  <r>
    <n v="1176"/>
    <s v="Amit"/>
    <x v="0"/>
    <x v="0"/>
    <s v="Microwave"/>
    <n v="1"/>
    <n v="34039"/>
    <x v="175"/>
    <n v="34039"/>
    <n v="6807.8"/>
  </r>
  <r>
    <n v="1177"/>
    <s v="Amit"/>
    <x v="0"/>
    <x v="3"/>
    <s v="Headphones"/>
    <n v="4"/>
    <n v="20895"/>
    <x v="176"/>
    <n v="83580"/>
    <n v="4179"/>
  </r>
  <r>
    <n v="1178"/>
    <s v="Priya"/>
    <x v="2"/>
    <x v="3"/>
    <s v="Fridge"/>
    <n v="9"/>
    <n v="19155"/>
    <x v="177"/>
    <n v="172395"/>
    <n v="3831"/>
  </r>
  <r>
    <n v="1179"/>
    <s v="Priya"/>
    <x v="1"/>
    <x v="1"/>
    <s v="Shirt"/>
    <n v="1"/>
    <n v="11616"/>
    <x v="178"/>
    <n v="11616"/>
    <n v="2323.2000000000003"/>
  </r>
  <r>
    <n v="1180"/>
    <s v="Pooja"/>
    <x v="0"/>
    <x v="1"/>
    <s v="Jeans"/>
    <n v="4"/>
    <n v="38129"/>
    <x v="179"/>
    <n v="152516"/>
    <n v="7625.8"/>
  </r>
  <r>
    <n v="1181"/>
    <s v="Vikas"/>
    <x v="3"/>
    <x v="0"/>
    <s v="Mobile"/>
    <n v="6"/>
    <n v="40837"/>
    <x v="180"/>
    <n v="245022"/>
    <n v="8167.4000000000015"/>
  </r>
  <r>
    <n v="1182"/>
    <s v="Karan"/>
    <x v="0"/>
    <x v="2"/>
    <s v="Mobile"/>
    <n v="6"/>
    <n v="25574"/>
    <x v="181"/>
    <n v="153444"/>
    <n v="5114.8"/>
  </r>
  <r>
    <n v="1183"/>
    <s v="Amit"/>
    <x v="2"/>
    <x v="0"/>
    <s v="Microwave"/>
    <n v="8"/>
    <n v="4430"/>
    <x v="182"/>
    <n v="35440"/>
    <n v="886"/>
  </r>
  <r>
    <n v="1184"/>
    <s v="Amit"/>
    <x v="2"/>
    <x v="3"/>
    <s v="Headphones"/>
    <n v="1"/>
    <n v="13676"/>
    <x v="183"/>
    <n v="13676"/>
    <n v="2735.2000000000003"/>
  </r>
  <r>
    <n v="1185"/>
    <s v="Ravi"/>
    <x v="2"/>
    <x v="0"/>
    <s v="Headphones"/>
    <n v="7"/>
    <n v="11816"/>
    <x v="184"/>
    <n v="82712"/>
    <n v="2363.2000000000003"/>
  </r>
  <r>
    <n v="1186"/>
    <s v="Priya"/>
    <x v="1"/>
    <x v="2"/>
    <s v="Fridge"/>
    <n v="1"/>
    <n v="33733"/>
    <x v="185"/>
    <n v="33733"/>
    <n v="6746.6"/>
  </r>
  <r>
    <n v="1187"/>
    <s v="Karan"/>
    <x v="0"/>
    <x v="1"/>
    <s v="Camera"/>
    <n v="7"/>
    <n v="21144"/>
    <x v="186"/>
    <n v="148008"/>
    <n v="4228.8"/>
  </r>
  <r>
    <n v="1188"/>
    <s v="Neha"/>
    <x v="1"/>
    <x v="2"/>
    <s v="Laptop"/>
    <n v="3"/>
    <n v="3050"/>
    <x v="187"/>
    <n v="9150"/>
    <n v="610"/>
  </r>
  <r>
    <n v="1189"/>
    <s v="Pooja"/>
    <x v="1"/>
    <x v="2"/>
    <s v="Fridge"/>
    <n v="8"/>
    <n v="45460"/>
    <x v="188"/>
    <n v="363680"/>
    <n v="9092"/>
  </r>
  <r>
    <n v="1190"/>
    <s v="Vikas"/>
    <x v="2"/>
    <x v="2"/>
    <s v="Jeans"/>
    <n v="3"/>
    <n v="34933"/>
    <x v="189"/>
    <n v="104799"/>
    <n v="6986.6"/>
  </r>
  <r>
    <n v="1191"/>
    <s v="Sneha"/>
    <x v="2"/>
    <x v="1"/>
    <s v="Shirt"/>
    <n v="1"/>
    <n v="25951"/>
    <x v="190"/>
    <n v="25951"/>
    <n v="5190.2000000000007"/>
  </r>
  <r>
    <n v="1192"/>
    <s v="Vikas"/>
    <x v="1"/>
    <x v="2"/>
    <s v="Mobile"/>
    <n v="8"/>
    <n v="33413"/>
    <x v="191"/>
    <n v="267304"/>
    <n v="6682.6"/>
  </r>
  <r>
    <n v="1193"/>
    <s v="Anita"/>
    <x v="0"/>
    <x v="2"/>
    <s v="Fridge"/>
    <n v="3"/>
    <n v="35801"/>
    <x v="192"/>
    <n v="107403"/>
    <n v="7160.2000000000007"/>
  </r>
  <r>
    <n v="1194"/>
    <s v="Amit"/>
    <x v="3"/>
    <x v="2"/>
    <s v="Laptop"/>
    <n v="2"/>
    <n v="33913"/>
    <x v="193"/>
    <n v="67826"/>
    <n v="6782.6"/>
  </r>
  <r>
    <n v="1195"/>
    <s v="Pooja"/>
    <x v="1"/>
    <x v="3"/>
    <s v="Laptop"/>
    <n v="1"/>
    <n v="48037"/>
    <x v="194"/>
    <n v="48037"/>
    <n v="9607.4"/>
  </r>
  <r>
    <n v="1196"/>
    <s v="Anita"/>
    <x v="0"/>
    <x v="2"/>
    <s v="Fridge"/>
    <n v="3"/>
    <n v="41600"/>
    <x v="195"/>
    <n v="124800"/>
    <n v="8320"/>
  </r>
  <r>
    <n v="1197"/>
    <s v="Karan"/>
    <x v="2"/>
    <x v="1"/>
    <s v="Microwave"/>
    <n v="2"/>
    <n v="26280"/>
    <x v="196"/>
    <n v="52560"/>
    <n v="5256"/>
  </r>
  <r>
    <n v="1198"/>
    <s v="Sneha"/>
    <x v="2"/>
    <x v="2"/>
    <s v="Mobile"/>
    <n v="2"/>
    <n v="25557"/>
    <x v="197"/>
    <n v="51114"/>
    <n v="5111.4000000000015"/>
  </r>
  <r>
    <n v="1199"/>
    <s v="Priya"/>
    <x v="0"/>
    <x v="2"/>
    <s v="Microwave"/>
    <n v="6"/>
    <n v="48054"/>
    <x v="198"/>
    <n v="288324"/>
    <n v="9610.8000000000011"/>
  </r>
  <r>
    <n v="1200"/>
    <s v="Pooja"/>
    <x v="3"/>
    <x v="1"/>
    <s v="Shirt"/>
    <n v="1"/>
    <n v="36400"/>
    <x v="199"/>
    <n v="36400"/>
    <n v="7280"/>
  </r>
  <r>
    <n v="1201"/>
    <s v="Pooja"/>
    <x v="2"/>
    <x v="2"/>
    <s v="Laptop"/>
    <n v="2"/>
    <n v="5494"/>
    <x v="200"/>
    <n v="10988"/>
    <n v="1098.8"/>
  </r>
  <r>
    <n v="1202"/>
    <s v="Amit"/>
    <x v="2"/>
    <x v="1"/>
    <s v="Laptop"/>
    <n v="6"/>
    <n v="16152"/>
    <x v="201"/>
    <n v="96912"/>
    <n v="3230.4"/>
  </r>
  <r>
    <n v="1203"/>
    <s v="Deepak"/>
    <x v="2"/>
    <x v="2"/>
    <s v="Jeans"/>
    <n v="3"/>
    <n v="24895"/>
    <x v="202"/>
    <n v="74685"/>
    <n v="4979"/>
  </r>
  <r>
    <n v="1204"/>
    <s v="Pooja"/>
    <x v="0"/>
    <x v="1"/>
    <s v="Shirt"/>
    <n v="4"/>
    <n v="10155"/>
    <x v="203"/>
    <n v="40620"/>
    <n v="2031"/>
  </r>
  <r>
    <n v="1205"/>
    <s v="Ravi"/>
    <x v="1"/>
    <x v="2"/>
    <s v="Laptop"/>
    <n v="1"/>
    <n v="32883"/>
    <x v="204"/>
    <n v="32883"/>
    <n v="6576.6"/>
  </r>
  <r>
    <n v="1206"/>
    <s v="Sneha"/>
    <x v="2"/>
    <x v="2"/>
    <s v="Shirt"/>
    <n v="8"/>
    <n v="44194"/>
    <x v="205"/>
    <n v="353552"/>
    <n v="8838.8000000000011"/>
  </r>
  <r>
    <n v="1207"/>
    <s v="Sneha"/>
    <x v="1"/>
    <x v="3"/>
    <s v="Mobile"/>
    <n v="7"/>
    <n v="44001"/>
    <x v="206"/>
    <n v="308007"/>
    <n v="8800.2000000000007"/>
  </r>
  <r>
    <n v="1208"/>
    <s v="Ravi"/>
    <x v="3"/>
    <x v="3"/>
    <s v="Headphones"/>
    <n v="7"/>
    <n v="2828"/>
    <x v="207"/>
    <n v="19796"/>
    <n v="565.6"/>
  </r>
  <r>
    <n v="1209"/>
    <s v="Neha"/>
    <x v="2"/>
    <x v="2"/>
    <s v="Laptop"/>
    <n v="3"/>
    <n v="46028"/>
    <x v="208"/>
    <n v="138084"/>
    <n v="9205.6"/>
  </r>
  <r>
    <n v="1210"/>
    <s v="Ravi"/>
    <x v="2"/>
    <x v="2"/>
    <s v="Jeans"/>
    <n v="3"/>
    <n v="42898"/>
    <x v="209"/>
    <n v="128694"/>
    <n v="8579.6"/>
  </r>
  <r>
    <n v="1211"/>
    <s v="Ravi"/>
    <x v="3"/>
    <x v="0"/>
    <s v="Mobile"/>
    <n v="2"/>
    <n v="33123"/>
    <x v="210"/>
    <n v="66246"/>
    <n v="6624.6"/>
  </r>
  <r>
    <n v="1212"/>
    <s v="Sneha"/>
    <x v="2"/>
    <x v="1"/>
    <s v="Fridge"/>
    <n v="1"/>
    <n v="38573"/>
    <x v="211"/>
    <n v="38573"/>
    <n v="7714.6"/>
  </r>
  <r>
    <n v="1213"/>
    <s v="Vikas"/>
    <x v="1"/>
    <x v="0"/>
    <s v="Shirt"/>
    <n v="7"/>
    <n v="1806"/>
    <x v="212"/>
    <n v="12642"/>
    <n v="361.20000000000005"/>
  </r>
  <r>
    <n v="1214"/>
    <s v="Sneha"/>
    <x v="0"/>
    <x v="3"/>
    <s v="Fridge"/>
    <n v="7"/>
    <n v="41970"/>
    <x v="213"/>
    <n v="293790"/>
    <n v="8394"/>
  </r>
  <r>
    <n v="1215"/>
    <s v="Deepak"/>
    <x v="1"/>
    <x v="3"/>
    <s v="Microwave"/>
    <n v="2"/>
    <n v="30757"/>
    <x v="214"/>
    <n v="61514"/>
    <n v="6151.4000000000015"/>
  </r>
  <r>
    <n v="1216"/>
    <s v="Amit"/>
    <x v="0"/>
    <x v="3"/>
    <s v="Mobile"/>
    <n v="7"/>
    <n v="35636"/>
    <x v="215"/>
    <n v="249452"/>
    <n v="7127.2000000000007"/>
  </r>
  <r>
    <n v="1217"/>
    <s v="Anita"/>
    <x v="0"/>
    <x v="3"/>
    <s v="Fridge"/>
    <n v="8"/>
    <n v="15561"/>
    <x v="216"/>
    <n v="124488"/>
    <n v="3112.2000000000003"/>
  </r>
  <r>
    <n v="1218"/>
    <s v="Vikas"/>
    <x v="1"/>
    <x v="2"/>
    <s v="Camera"/>
    <n v="1"/>
    <n v="49280"/>
    <x v="217"/>
    <n v="49280"/>
    <n v="9856"/>
  </r>
  <r>
    <n v="1219"/>
    <s v="Priya"/>
    <x v="1"/>
    <x v="3"/>
    <s v="Camera"/>
    <n v="9"/>
    <n v="25262"/>
    <x v="218"/>
    <n v="227358"/>
    <n v="5052.4000000000015"/>
  </r>
  <r>
    <n v="1220"/>
    <s v="Anita"/>
    <x v="1"/>
    <x v="2"/>
    <s v="Laptop"/>
    <n v="7"/>
    <n v="15899"/>
    <x v="219"/>
    <n v="111293"/>
    <n v="3179.8"/>
  </r>
  <r>
    <n v="1221"/>
    <s v="Amit"/>
    <x v="1"/>
    <x v="2"/>
    <s v="Shirt"/>
    <n v="3"/>
    <n v="49988"/>
    <x v="220"/>
    <n v="149964"/>
    <n v="9997.6"/>
  </r>
  <r>
    <n v="1222"/>
    <s v="Deepak"/>
    <x v="3"/>
    <x v="3"/>
    <s v="Headphones"/>
    <n v="8"/>
    <n v="16934"/>
    <x v="221"/>
    <n v="135472"/>
    <n v="3386.8"/>
  </r>
  <r>
    <n v="1223"/>
    <s v="Deepak"/>
    <x v="2"/>
    <x v="3"/>
    <s v="Mobile"/>
    <n v="7"/>
    <n v="39197"/>
    <x v="222"/>
    <n v="274379"/>
    <n v="7839.4000000000015"/>
  </r>
  <r>
    <n v="1224"/>
    <s v="Priya"/>
    <x v="0"/>
    <x v="1"/>
    <s v="Laptop"/>
    <n v="8"/>
    <n v="42844"/>
    <x v="223"/>
    <n v="342752"/>
    <n v="8568.8000000000011"/>
  </r>
  <r>
    <n v="1225"/>
    <s v="Vikas"/>
    <x v="1"/>
    <x v="0"/>
    <s v="Jeans"/>
    <n v="6"/>
    <n v="37332"/>
    <x v="224"/>
    <n v="223992"/>
    <n v="7466.4000000000015"/>
  </r>
  <r>
    <n v="1226"/>
    <s v="Neha"/>
    <x v="1"/>
    <x v="3"/>
    <s v="Microwave"/>
    <n v="9"/>
    <n v="35157"/>
    <x v="225"/>
    <n v="316413"/>
    <n v="7031.4000000000015"/>
  </r>
  <r>
    <n v="1227"/>
    <s v="Ravi"/>
    <x v="1"/>
    <x v="1"/>
    <s v="Shirt"/>
    <n v="5"/>
    <n v="12593"/>
    <x v="226"/>
    <n v="62965"/>
    <n v="2518.6000000000004"/>
  </r>
  <r>
    <n v="1228"/>
    <s v="Vikas"/>
    <x v="3"/>
    <x v="1"/>
    <s v="Mobile"/>
    <n v="3"/>
    <n v="41042"/>
    <x v="227"/>
    <n v="123126"/>
    <n v="8208.4"/>
  </r>
  <r>
    <n v="1229"/>
    <s v="Neha"/>
    <x v="1"/>
    <x v="0"/>
    <s v="Camera"/>
    <n v="3"/>
    <n v="18320"/>
    <x v="228"/>
    <n v="54960"/>
    <n v="3664"/>
  </r>
  <r>
    <n v="1230"/>
    <s v="Deepak"/>
    <x v="1"/>
    <x v="2"/>
    <s v="Mobile"/>
    <n v="1"/>
    <n v="28376"/>
    <x v="229"/>
    <n v="28376"/>
    <n v="5675.2000000000007"/>
  </r>
  <r>
    <n v="1231"/>
    <s v="Sneha"/>
    <x v="1"/>
    <x v="3"/>
    <s v="Headphones"/>
    <n v="8"/>
    <n v="44513"/>
    <x v="230"/>
    <n v="356104"/>
    <n v="8902.6"/>
  </r>
  <r>
    <n v="1232"/>
    <s v="Amit"/>
    <x v="2"/>
    <x v="0"/>
    <s v="Camera"/>
    <n v="2"/>
    <n v="15199"/>
    <x v="231"/>
    <n v="30398"/>
    <n v="3039.8"/>
  </r>
  <r>
    <n v="1233"/>
    <s v="Priya"/>
    <x v="3"/>
    <x v="3"/>
    <s v="Headphones"/>
    <n v="3"/>
    <n v="16876"/>
    <x v="232"/>
    <n v="50628"/>
    <n v="3375.2000000000003"/>
  </r>
  <r>
    <n v="1234"/>
    <s v="Amit"/>
    <x v="1"/>
    <x v="1"/>
    <s v="Jeans"/>
    <n v="8"/>
    <n v="9245"/>
    <x v="233"/>
    <n v="73960"/>
    <n v="1849"/>
  </r>
  <r>
    <n v="1235"/>
    <s v="Karan"/>
    <x v="0"/>
    <x v="1"/>
    <s v="Microwave"/>
    <n v="8"/>
    <n v="8214"/>
    <x v="234"/>
    <n v="65712"/>
    <n v="1642.8000000000002"/>
  </r>
  <r>
    <n v="1236"/>
    <s v="Karan"/>
    <x v="0"/>
    <x v="2"/>
    <s v="Jeans"/>
    <n v="4"/>
    <n v="1726"/>
    <x v="235"/>
    <n v="6904"/>
    <n v="345.20000000000005"/>
  </r>
  <r>
    <n v="1237"/>
    <s v="Vikas"/>
    <x v="0"/>
    <x v="1"/>
    <s v="Laptop"/>
    <n v="4"/>
    <n v="47600"/>
    <x v="236"/>
    <n v="190400"/>
    <n v="9520"/>
  </r>
  <r>
    <n v="1238"/>
    <s v="Deepak"/>
    <x v="3"/>
    <x v="1"/>
    <s v="Laptop"/>
    <n v="5"/>
    <n v="12362"/>
    <x v="237"/>
    <n v="61810"/>
    <n v="2472.4"/>
  </r>
  <r>
    <n v="1239"/>
    <s v="Deepak"/>
    <x v="3"/>
    <x v="0"/>
    <s v="Jeans"/>
    <n v="6"/>
    <n v="19297"/>
    <x v="238"/>
    <n v="115782"/>
    <n v="3859.4"/>
  </r>
  <r>
    <n v="1240"/>
    <s v="Ravi"/>
    <x v="0"/>
    <x v="3"/>
    <s v="Microwave"/>
    <n v="5"/>
    <n v="31448"/>
    <x v="239"/>
    <n v="157240"/>
    <n v="6289.6"/>
  </r>
  <r>
    <n v="1241"/>
    <s v="Ravi"/>
    <x v="1"/>
    <x v="3"/>
    <s v="Jeans"/>
    <n v="7"/>
    <n v="27172"/>
    <x v="240"/>
    <n v="190204"/>
    <n v="5434.4000000000015"/>
  </r>
  <r>
    <n v="1242"/>
    <s v="Ravi"/>
    <x v="3"/>
    <x v="0"/>
    <s v="Microwave"/>
    <n v="2"/>
    <n v="43874"/>
    <x v="241"/>
    <n v="87748"/>
    <n v="8774.8000000000011"/>
  </r>
  <r>
    <n v="1243"/>
    <s v="Sneha"/>
    <x v="0"/>
    <x v="2"/>
    <s v="Microwave"/>
    <n v="7"/>
    <n v="8657"/>
    <x v="242"/>
    <n v="60599"/>
    <n v="1731.4"/>
  </r>
  <r>
    <n v="1244"/>
    <s v="Anita"/>
    <x v="0"/>
    <x v="3"/>
    <s v="Fridge"/>
    <n v="7"/>
    <n v="19850"/>
    <x v="243"/>
    <n v="138950"/>
    <n v="3970"/>
  </r>
  <r>
    <n v="1245"/>
    <s v="Pooja"/>
    <x v="1"/>
    <x v="1"/>
    <s v="Camera"/>
    <n v="1"/>
    <n v="26425"/>
    <x v="244"/>
    <n v="26425"/>
    <n v="5285"/>
  </r>
  <r>
    <n v="1246"/>
    <s v="Anita"/>
    <x v="2"/>
    <x v="3"/>
    <s v="Shirt"/>
    <n v="7"/>
    <n v="27685"/>
    <x v="245"/>
    <n v="193795"/>
    <n v="5537"/>
  </r>
  <r>
    <n v="1247"/>
    <s v="Amit"/>
    <x v="3"/>
    <x v="1"/>
    <s v="Microwave"/>
    <n v="5"/>
    <n v="48319"/>
    <x v="246"/>
    <n v="241595"/>
    <n v="9663.8000000000011"/>
  </r>
  <r>
    <n v="1248"/>
    <s v="Anita"/>
    <x v="1"/>
    <x v="2"/>
    <s v="Headphones"/>
    <n v="3"/>
    <n v="25578"/>
    <x v="247"/>
    <n v="76734"/>
    <n v="5115.6000000000004"/>
  </r>
  <r>
    <n v="1249"/>
    <s v="Sneha"/>
    <x v="0"/>
    <x v="0"/>
    <s v="Microwave"/>
    <n v="3"/>
    <n v="29831"/>
    <x v="248"/>
    <n v="89493"/>
    <n v="5966.2000000000007"/>
  </r>
  <r>
    <n v="1250"/>
    <s v="Amit"/>
    <x v="0"/>
    <x v="3"/>
    <s v="Microwave"/>
    <n v="4"/>
    <n v="8906"/>
    <x v="249"/>
    <n v="35624"/>
    <n v="1781.2"/>
  </r>
  <r>
    <n v="1251"/>
    <s v="Anita"/>
    <x v="1"/>
    <x v="0"/>
    <s v="Microwave"/>
    <n v="2"/>
    <n v="8287"/>
    <x v="250"/>
    <n v="16574"/>
    <n v="1657.4"/>
  </r>
  <r>
    <n v="1252"/>
    <s v="Sneha"/>
    <x v="3"/>
    <x v="3"/>
    <s v="Fridge"/>
    <n v="2"/>
    <n v="34660"/>
    <x v="251"/>
    <n v="69320"/>
    <n v="6932"/>
  </r>
  <r>
    <n v="1253"/>
    <s v="Pooja"/>
    <x v="2"/>
    <x v="1"/>
    <s v="Camera"/>
    <n v="1"/>
    <n v="11222"/>
    <x v="252"/>
    <n v="11222"/>
    <n v="2244.4"/>
  </r>
  <r>
    <n v="1254"/>
    <s v="Anita"/>
    <x v="2"/>
    <x v="0"/>
    <s v="Fridge"/>
    <n v="5"/>
    <n v="38443"/>
    <x v="253"/>
    <n v="192215"/>
    <n v="7688.6"/>
  </r>
  <r>
    <n v="1255"/>
    <s v="Sneha"/>
    <x v="0"/>
    <x v="3"/>
    <s v="Laptop"/>
    <n v="4"/>
    <n v="35701"/>
    <x v="254"/>
    <n v="142804"/>
    <n v="7140.2000000000007"/>
  </r>
  <r>
    <n v="1256"/>
    <s v="Ravi"/>
    <x v="3"/>
    <x v="1"/>
    <s v="Fridge"/>
    <n v="2"/>
    <n v="18764"/>
    <x v="255"/>
    <n v="37528"/>
    <n v="3752.8"/>
  </r>
  <r>
    <n v="1257"/>
    <s v="Deepak"/>
    <x v="2"/>
    <x v="0"/>
    <s v="Headphones"/>
    <n v="3"/>
    <n v="45641"/>
    <x v="256"/>
    <n v="136923"/>
    <n v="9128.2000000000007"/>
  </r>
  <r>
    <n v="1258"/>
    <s v="Ravi"/>
    <x v="3"/>
    <x v="0"/>
    <s v="Headphones"/>
    <n v="7"/>
    <n v="18674"/>
    <x v="257"/>
    <n v="130718"/>
    <n v="3734.8"/>
  </r>
  <r>
    <n v="1259"/>
    <s v="Deepak"/>
    <x v="3"/>
    <x v="3"/>
    <s v="Fridge"/>
    <n v="7"/>
    <n v="19024"/>
    <x v="258"/>
    <n v="133168"/>
    <n v="3804.8"/>
  </r>
  <r>
    <n v="1260"/>
    <s v="Priya"/>
    <x v="0"/>
    <x v="3"/>
    <s v="Camera"/>
    <n v="4"/>
    <n v="47007"/>
    <x v="259"/>
    <n v="188028"/>
    <n v="9401.4"/>
  </r>
  <r>
    <n v="1261"/>
    <s v="Priya"/>
    <x v="2"/>
    <x v="3"/>
    <s v="Jeans"/>
    <n v="5"/>
    <n v="24874"/>
    <x v="260"/>
    <n v="124370"/>
    <n v="4974.8"/>
  </r>
  <r>
    <n v="1262"/>
    <s v="Priya"/>
    <x v="1"/>
    <x v="1"/>
    <s v="Shirt"/>
    <n v="5"/>
    <n v="44642"/>
    <x v="261"/>
    <n v="223210"/>
    <n v="8928.4"/>
  </r>
  <r>
    <n v="1263"/>
    <s v="Pooja"/>
    <x v="0"/>
    <x v="3"/>
    <s v="Camera"/>
    <n v="6"/>
    <n v="33284"/>
    <x v="262"/>
    <n v="199704"/>
    <n v="6656.8"/>
  </r>
  <r>
    <n v="1264"/>
    <s v="Ravi"/>
    <x v="2"/>
    <x v="0"/>
    <s v="Fridge"/>
    <n v="9"/>
    <n v="18602"/>
    <x v="263"/>
    <n v="167418"/>
    <n v="3720.4"/>
  </r>
  <r>
    <n v="1265"/>
    <s v="Deepak"/>
    <x v="2"/>
    <x v="0"/>
    <s v="Microwave"/>
    <n v="2"/>
    <n v="38784"/>
    <x v="264"/>
    <n v="77568"/>
    <n v="7756.8"/>
  </r>
  <r>
    <n v="1266"/>
    <s v="Sneha"/>
    <x v="2"/>
    <x v="3"/>
    <s v="Mobile"/>
    <n v="5"/>
    <n v="24265"/>
    <x v="265"/>
    <n v="121325"/>
    <n v="4853"/>
  </r>
  <r>
    <n v="1267"/>
    <s v="Amit"/>
    <x v="2"/>
    <x v="3"/>
    <s v="Shirt"/>
    <n v="3"/>
    <n v="26931"/>
    <x v="266"/>
    <n v="80793"/>
    <n v="5386.2000000000007"/>
  </r>
  <r>
    <n v="1268"/>
    <s v="Sneha"/>
    <x v="2"/>
    <x v="2"/>
    <s v="Shirt"/>
    <n v="4"/>
    <n v="29841"/>
    <x v="267"/>
    <n v="119364"/>
    <n v="5968.2000000000007"/>
  </r>
  <r>
    <n v="1269"/>
    <s v="Amit"/>
    <x v="3"/>
    <x v="0"/>
    <s v="Headphones"/>
    <n v="6"/>
    <n v="30192"/>
    <x v="268"/>
    <n v="181152"/>
    <n v="6038.4000000000015"/>
  </r>
  <r>
    <n v="1270"/>
    <s v="Karan"/>
    <x v="0"/>
    <x v="1"/>
    <s v="Shirt"/>
    <n v="8"/>
    <n v="47542"/>
    <x v="269"/>
    <n v="380336"/>
    <n v="9508.4"/>
  </r>
  <r>
    <n v="1271"/>
    <s v="Sneha"/>
    <x v="3"/>
    <x v="2"/>
    <s v="Fridge"/>
    <n v="1"/>
    <n v="43520"/>
    <x v="270"/>
    <n v="43520"/>
    <n v="8704"/>
  </r>
  <r>
    <n v="1272"/>
    <s v="Anita"/>
    <x v="1"/>
    <x v="3"/>
    <s v="Microwave"/>
    <n v="8"/>
    <n v="16585"/>
    <x v="271"/>
    <n v="132680"/>
    <n v="3317"/>
  </r>
  <r>
    <n v="1273"/>
    <s v="Anita"/>
    <x v="2"/>
    <x v="3"/>
    <s v="Microwave"/>
    <n v="7"/>
    <n v="26559"/>
    <x v="272"/>
    <n v="185913"/>
    <n v="5311.8"/>
  </r>
  <r>
    <n v="1274"/>
    <s v="Vikas"/>
    <x v="0"/>
    <x v="0"/>
    <s v="Laptop"/>
    <n v="1"/>
    <n v="41059"/>
    <x v="273"/>
    <n v="41059"/>
    <n v="8211.8000000000011"/>
  </r>
  <r>
    <n v="1275"/>
    <s v="Ravi"/>
    <x v="2"/>
    <x v="3"/>
    <s v="Microwave"/>
    <n v="2"/>
    <n v="34742"/>
    <x v="274"/>
    <n v="69484"/>
    <n v="6948.4000000000015"/>
  </r>
  <r>
    <n v="1276"/>
    <s v="Amit"/>
    <x v="0"/>
    <x v="1"/>
    <s v="Camera"/>
    <n v="3"/>
    <n v="5133"/>
    <x v="275"/>
    <n v="15399"/>
    <n v="1026.6000000000001"/>
  </r>
  <r>
    <n v="1277"/>
    <s v="Amit"/>
    <x v="3"/>
    <x v="0"/>
    <s v="Microwave"/>
    <n v="1"/>
    <n v="15663"/>
    <x v="276"/>
    <n v="15663"/>
    <n v="3132.6000000000004"/>
  </r>
  <r>
    <n v="1278"/>
    <s v="Ravi"/>
    <x v="0"/>
    <x v="3"/>
    <s v="Headphones"/>
    <n v="9"/>
    <n v="22754"/>
    <x v="277"/>
    <n v="204786"/>
    <n v="4550.8"/>
  </r>
  <r>
    <n v="1279"/>
    <s v="Pooja"/>
    <x v="1"/>
    <x v="0"/>
    <s v="Microwave"/>
    <n v="8"/>
    <n v="4972"/>
    <x v="278"/>
    <n v="39776"/>
    <n v="994.40000000000009"/>
  </r>
  <r>
    <n v="1280"/>
    <s v="Vikas"/>
    <x v="1"/>
    <x v="3"/>
    <s v="Laptop"/>
    <n v="2"/>
    <n v="6295"/>
    <x v="279"/>
    <n v="12590"/>
    <n v="1259"/>
  </r>
  <r>
    <n v="1281"/>
    <s v="Pooja"/>
    <x v="0"/>
    <x v="3"/>
    <s v="Mobile"/>
    <n v="9"/>
    <n v="47681"/>
    <x v="280"/>
    <n v="429129"/>
    <n v="9536.2000000000007"/>
  </r>
  <r>
    <n v="1282"/>
    <s v="Pooja"/>
    <x v="0"/>
    <x v="3"/>
    <s v="Fridge"/>
    <n v="7"/>
    <n v="42873"/>
    <x v="281"/>
    <n v="300111"/>
    <n v="8574.6"/>
  </r>
  <r>
    <n v="1283"/>
    <s v="Pooja"/>
    <x v="0"/>
    <x v="1"/>
    <s v="Headphones"/>
    <n v="9"/>
    <n v="30125"/>
    <x v="282"/>
    <n v="271125"/>
    <n v="6025"/>
  </r>
  <r>
    <n v="1284"/>
    <s v="Ravi"/>
    <x v="0"/>
    <x v="1"/>
    <s v="Camera"/>
    <n v="6"/>
    <n v="41996"/>
    <x v="283"/>
    <n v="251976"/>
    <n v="8399.2000000000007"/>
  </r>
  <r>
    <n v="1285"/>
    <s v="Pooja"/>
    <x v="1"/>
    <x v="0"/>
    <s v="Mobile"/>
    <n v="6"/>
    <n v="10903"/>
    <x v="284"/>
    <n v="65418"/>
    <n v="2180.6"/>
  </r>
  <r>
    <n v="1286"/>
    <s v="Anita"/>
    <x v="2"/>
    <x v="3"/>
    <s v="Headphones"/>
    <n v="4"/>
    <n v="4020"/>
    <x v="285"/>
    <n v="16080"/>
    <n v="804"/>
  </r>
  <r>
    <n v="1287"/>
    <s v="Priya"/>
    <x v="0"/>
    <x v="3"/>
    <s v="Jeans"/>
    <n v="2"/>
    <n v="42755"/>
    <x v="286"/>
    <n v="85510"/>
    <n v="8551"/>
  </r>
  <r>
    <n v="1288"/>
    <s v="Karan"/>
    <x v="0"/>
    <x v="1"/>
    <s v="Shirt"/>
    <n v="7"/>
    <n v="21420"/>
    <x v="287"/>
    <n v="149940"/>
    <n v="4284"/>
  </r>
  <r>
    <n v="1289"/>
    <s v="Amit"/>
    <x v="1"/>
    <x v="3"/>
    <s v="Jeans"/>
    <n v="5"/>
    <n v="22452"/>
    <x v="288"/>
    <n v="112260"/>
    <n v="4490.4000000000015"/>
  </r>
  <r>
    <n v="1290"/>
    <s v="Amit"/>
    <x v="1"/>
    <x v="1"/>
    <s v="Microwave"/>
    <n v="6"/>
    <n v="46648"/>
    <x v="289"/>
    <n v="279888"/>
    <n v="9329.6"/>
  </r>
  <r>
    <n v="1291"/>
    <s v="Karan"/>
    <x v="3"/>
    <x v="3"/>
    <s v="Mobile"/>
    <n v="2"/>
    <n v="39001"/>
    <x v="290"/>
    <n v="78002"/>
    <n v="7800.2000000000007"/>
  </r>
  <r>
    <n v="1292"/>
    <s v="Ravi"/>
    <x v="0"/>
    <x v="0"/>
    <s v="Microwave"/>
    <n v="5"/>
    <n v="10516"/>
    <x v="291"/>
    <n v="52580"/>
    <n v="2103.2000000000003"/>
  </r>
  <r>
    <n v="1293"/>
    <s v="Sneha"/>
    <x v="3"/>
    <x v="3"/>
    <s v="Shirt"/>
    <n v="4"/>
    <n v="48327"/>
    <x v="292"/>
    <n v="193308"/>
    <n v="9665.4"/>
  </r>
  <r>
    <n v="1294"/>
    <s v="Ravi"/>
    <x v="1"/>
    <x v="3"/>
    <s v="Headphones"/>
    <n v="9"/>
    <n v="3396"/>
    <x v="293"/>
    <n v="30564"/>
    <n v="679.2"/>
  </r>
  <r>
    <n v="1295"/>
    <s v="Amit"/>
    <x v="1"/>
    <x v="2"/>
    <s v="Shirt"/>
    <n v="6"/>
    <n v="19546"/>
    <x v="294"/>
    <n v="117276"/>
    <n v="3909.2000000000003"/>
  </r>
  <r>
    <n v="1296"/>
    <s v="Amit"/>
    <x v="2"/>
    <x v="1"/>
    <s v="Laptop"/>
    <n v="2"/>
    <n v="20129"/>
    <x v="295"/>
    <n v="40258"/>
    <n v="4025.8"/>
  </r>
  <r>
    <n v="1297"/>
    <s v="Karan"/>
    <x v="0"/>
    <x v="3"/>
    <s v="Shirt"/>
    <n v="1"/>
    <n v="2591"/>
    <x v="296"/>
    <n v="2591"/>
    <n v="518.20000000000005"/>
  </r>
  <r>
    <n v="1298"/>
    <s v="Pooja"/>
    <x v="3"/>
    <x v="3"/>
    <s v="Laptop"/>
    <n v="5"/>
    <n v="12303"/>
    <x v="297"/>
    <n v="61515"/>
    <n v="2460.6000000000004"/>
  </r>
  <r>
    <n v="1299"/>
    <s v="Ravi"/>
    <x v="1"/>
    <x v="2"/>
    <s v="Shirt"/>
    <n v="9"/>
    <n v="31561"/>
    <x v="298"/>
    <n v="284049"/>
    <n v="6312.2000000000007"/>
  </r>
  <r>
    <n v="1300"/>
    <s v="Deepak"/>
    <x v="1"/>
    <x v="2"/>
    <s v="Fridge"/>
    <n v="6"/>
    <n v="7183"/>
    <x v="299"/>
    <n v="43098"/>
    <n v="1436.6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C5DC18-DD65-4CEE-9950-09CDAF79FE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4:B48" firstHeaderRow="1" firstDataRow="1" firstDataCol="1"/>
  <pivotFields count="12">
    <pivotField showAll="0"/>
    <pivotField showAll="0"/>
    <pivotField axis="axisRow" showAll="0">
      <items count="5">
        <item h="1" x="3"/>
        <item x="0"/>
        <item x="2"/>
        <item x="1"/>
        <item t="default"/>
      </items>
    </pivotField>
    <pivotField showAll="0">
      <items count="5">
        <item x="0"/>
        <item x="1"/>
        <item x="3"/>
        <item x="2"/>
        <item t="default"/>
      </items>
    </pivotField>
    <pivotField showAll="0"/>
    <pivotField showAll="0"/>
    <pivotField dataField="1"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2"/>
    </i>
    <i>
      <x v="3"/>
    </i>
    <i t="grand">
      <x/>
    </i>
  </rowItems>
  <colItems count="1">
    <i/>
  </colItems>
  <dataFields count="1">
    <dataField name="Sum of Sales" fld="6" baseField="0" baseItem="0" numFmtId="165"/>
  </dataFields>
  <formats count="6">
    <format dxfId="5">
      <pivotArea type="all" dataOnly="0" outline="0" fieldPosition="0"/>
    </format>
    <format dxfId="4">
      <pivotArea outline="0" collapsedLevelsAreSubtotals="1" fieldPosition="0"/>
    </format>
    <format dxfId="3">
      <pivotArea field="11" type="button" dataOnly="0" labelOnly="1" outline="0"/>
    </format>
    <format dxfId="2">
      <pivotArea dataOnly="0" labelOnly="1" grandRow="1" outline="0" fieldPosition="0"/>
    </format>
    <format dxfId="1">
      <pivotArea dataOnly="0" labelOnly="1" outline="0" axis="axisValues" fieldPosition="0"/>
    </format>
    <format dxfId="0">
      <pivotArea outline="0" collapsedLevelsAreSubtotals="1" fieldPosition="0"/>
    </format>
  </formats>
  <chartFormats count="10">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 count="1" selected="0">
            <x v="1"/>
          </reference>
        </references>
      </pivotArea>
    </chartFormat>
    <chartFormat chart="10" format="2">
      <pivotArea type="data" outline="0" fieldPosition="0">
        <references count="2">
          <reference field="4294967294" count="1" selected="0">
            <x v="0"/>
          </reference>
          <reference field="2" count="1" selected="0">
            <x v="0"/>
          </reference>
        </references>
      </pivotArea>
    </chartFormat>
    <chartFormat chart="10" format="3">
      <pivotArea type="data" outline="0" fieldPosition="0">
        <references count="2">
          <reference field="4294967294" count="1" selected="0">
            <x v="0"/>
          </reference>
          <reference field="2" count="1" selected="0">
            <x v="3"/>
          </reference>
        </references>
      </pivotArea>
    </chartFormat>
    <chartFormat chart="10" format="4">
      <pivotArea type="data" outline="0" fieldPosition="0">
        <references count="2">
          <reference field="4294967294" count="1" selected="0">
            <x v="0"/>
          </reference>
          <reference field="2" count="1" selected="0">
            <x v="2"/>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2" count="1" selected="0">
            <x v="0"/>
          </reference>
        </references>
      </pivotArea>
    </chartFormat>
    <chartFormat chart="15" format="12">
      <pivotArea type="data" outline="0" fieldPosition="0">
        <references count="2">
          <reference field="4294967294" count="1" selected="0">
            <x v="0"/>
          </reference>
          <reference field="2" count="1" selected="0">
            <x v="1"/>
          </reference>
        </references>
      </pivotArea>
    </chartFormat>
    <chartFormat chart="15" format="13">
      <pivotArea type="data" outline="0" fieldPosition="0">
        <references count="2">
          <reference field="4294967294" count="1" selected="0">
            <x v="0"/>
          </reference>
          <reference field="2" count="1" selected="0">
            <x v="2"/>
          </reference>
        </references>
      </pivotArea>
    </chartFormat>
    <chartFormat chart="15"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9D0871-3C32-40B2-8F04-61F7D4C580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B37" firstHeaderRow="1" firstDataRow="1" firstDataCol="1"/>
  <pivotFields count="12">
    <pivotField showAll="0"/>
    <pivotField showAll="0"/>
    <pivotField axis="axisRow" showAll="0">
      <items count="5">
        <item h="1" x="3"/>
        <item x="0"/>
        <item x="2"/>
        <item x="1"/>
        <item t="default"/>
      </items>
    </pivotField>
    <pivotField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2"/>
    </i>
    <i>
      <x v="3"/>
    </i>
    <i t="grand">
      <x/>
    </i>
  </rowItems>
  <colItems count="1">
    <i/>
  </colItems>
  <dataFields count="1">
    <dataField name="Sum of Profit" fld="9" baseField="0" baseItem="0" numFmtId="165"/>
  </dataFields>
  <formats count="6">
    <format dxfId="11">
      <pivotArea type="all" dataOnly="0" outline="0" fieldPosition="0"/>
    </format>
    <format dxfId="10">
      <pivotArea outline="0" collapsedLevelsAreSubtotals="1" fieldPosition="0"/>
    </format>
    <format dxfId="9">
      <pivotArea field="11" type="button" dataOnly="0" labelOnly="1" outline="0"/>
    </format>
    <format dxfId="8">
      <pivotArea dataOnly="0" labelOnly="1" grandRow="1" outline="0" fieldPosition="0"/>
    </format>
    <format dxfId="7">
      <pivotArea dataOnly="0" labelOnly="1" outline="0" axis="axisValues" fieldPosition="0"/>
    </format>
    <format dxfId="6">
      <pivotArea outline="0" collapsedLevelsAreSubtotals="1" fieldPosition="0"/>
    </format>
  </formats>
  <chartFormats count="11">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0"/>
          </reference>
        </references>
      </pivotArea>
    </chartFormat>
    <chartFormat chart="9" format="8">
      <pivotArea type="data" outline="0" fieldPosition="0">
        <references count="2">
          <reference field="4294967294" count="1" selected="0">
            <x v="0"/>
          </reference>
          <reference field="2" count="1" selected="0">
            <x v="1"/>
          </reference>
        </references>
      </pivotArea>
    </chartFormat>
    <chartFormat chart="9" format="9">
      <pivotArea type="data" outline="0" fieldPosition="0">
        <references count="2">
          <reference field="4294967294" count="1" selected="0">
            <x v="0"/>
          </reference>
          <reference field="2" count="1" selected="0">
            <x v="2"/>
          </reference>
        </references>
      </pivotArea>
    </chartFormat>
    <chartFormat chart="9" format="10">
      <pivotArea type="data" outline="0" fieldPosition="0">
        <references count="2">
          <reference field="4294967294" count="1" selected="0">
            <x v="0"/>
          </reference>
          <reference field="2" count="1" selected="0">
            <x v="3"/>
          </reference>
        </references>
      </pivotArea>
    </chartFormat>
    <chartFormat chart="6" format="1">
      <pivotArea type="data" outline="0" fieldPosition="0">
        <references count="2">
          <reference field="4294967294" count="1" selected="0">
            <x v="0"/>
          </reference>
          <reference field="2" count="1" selected="0">
            <x v="2"/>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684AE5-BC49-43BC-8265-191E7A24E0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30" firstHeaderRow="1" firstDataRow="1" firstDataCol="1"/>
  <pivotFields count="12">
    <pivotField showAll="0"/>
    <pivotField showAll="0"/>
    <pivotField showAll="0">
      <items count="5">
        <item h="1" x="3"/>
        <item x="0"/>
        <item x="2"/>
        <item x="1"/>
        <item t="default"/>
      </items>
    </pivotField>
    <pivotField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1">
    <i>
      <x v="1"/>
    </i>
    <i>
      <x v="2"/>
    </i>
    <i>
      <x v="3"/>
    </i>
    <i>
      <x v="4"/>
    </i>
    <i>
      <x v="5"/>
    </i>
    <i>
      <x v="6"/>
    </i>
    <i>
      <x v="7"/>
    </i>
    <i>
      <x v="8"/>
    </i>
    <i>
      <x v="9"/>
    </i>
    <i>
      <x v="10"/>
    </i>
    <i t="grand">
      <x/>
    </i>
  </rowItems>
  <colItems count="1">
    <i/>
  </colItems>
  <dataFields count="1">
    <dataField name="Sum of Profit" fld="9" baseField="0" baseItem="0"/>
  </dataFields>
  <formats count="10">
    <format dxfId="21">
      <pivotArea collapsedLevelsAreSubtotals="1" fieldPosition="0">
        <references count="1">
          <reference field="11" count="1">
            <x v="1"/>
          </reference>
        </references>
      </pivotArea>
    </format>
    <format dxfId="20">
      <pivotArea collapsedLevelsAreSubtotals="1" fieldPosition="0">
        <references count="1">
          <reference field="11" count="1">
            <x v="2"/>
          </reference>
        </references>
      </pivotArea>
    </format>
    <format dxfId="19">
      <pivotArea collapsedLevelsAreSubtotals="1" fieldPosition="0">
        <references count="1">
          <reference field="11" count="1">
            <x v="3"/>
          </reference>
        </references>
      </pivotArea>
    </format>
    <format dxfId="18">
      <pivotArea collapsedLevelsAreSubtotals="1" fieldPosition="0">
        <references count="1">
          <reference field="11" count="7">
            <x v="4"/>
            <x v="5"/>
            <x v="6"/>
            <x v="7"/>
            <x v="8"/>
            <x v="9"/>
            <x v="10"/>
          </reference>
        </references>
      </pivotArea>
    </format>
    <format dxfId="17">
      <pivotArea type="all" dataOnly="0" outline="0" fieldPosition="0"/>
    </format>
    <format dxfId="16">
      <pivotArea outline="0" collapsedLevelsAreSubtotals="1" fieldPosition="0"/>
    </format>
    <format dxfId="15">
      <pivotArea field="11" type="button" dataOnly="0" labelOnly="1" outline="0" axis="axisRow" fieldPosition="0"/>
    </format>
    <format dxfId="14">
      <pivotArea dataOnly="0" labelOnly="1" fieldPosition="0">
        <references count="1">
          <reference field="11" count="10">
            <x v="1"/>
            <x v="2"/>
            <x v="3"/>
            <x v="4"/>
            <x v="5"/>
            <x v="6"/>
            <x v="7"/>
            <x v="8"/>
            <x v="9"/>
            <x v="10"/>
          </reference>
        </references>
      </pivotArea>
    </format>
    <format dxfId="13">
      <pivotArea dataOnly="0" labelOnly="1" grandRow="1" outline="0" fieldPosition="0"/>
    </format>
    <format dxfId="12">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EE4DDE-DF8C-4070-A1FA-5109789D84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2">
    <pivotField showAll="0"/>
    <pivotField showAll="0"/>
    <pivotField showAll="0">
      <items count="5">
        <item h="1" x="3"/>
        <item x="0"/>
        <item x="2"/>
        <item x="1"/>
        <item t="default"/>
      </items>
    </pivotField>
    <pivotField showAll="0">
      <items count="5">
        <item x="0"/>
        <item x="1"/>
        <item x="3"/>
        <item x="2"/>
        <item t="default"/>
      </items>
    </pivotField>
    <pivotField showAll="0"/>
    <pivotField showAll="0"/>
    <pivotField dataField="1"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1">
    <i>
      <x v="1"/>
    </i>
    <i>
      <x v="2"/>
    </i>
    <i>
      <x v="3"/>
    </i>
    <i>
      <x v="4"/>
    </i>
    <i>
      <x v="5"/>
    </i>
    <i>
      <x v="6"/>
    </i>
    <i>
      <x v="7"/>
    </i>
    <i>
      <x v="8"/>
    </i>
    <i>
      <x v="9"/>
    </i>
    <i>
      <x v="10"/>
    </i>
    <i t="grand">
      <x/>
    </i>
  </rowItems>
  <colItems count="1">
    <i/>
  </colItems>
  <dataFields count="1">
    <dataField name="Sum of Sales" fld="6" baseField="0" baseItem="0"/>
  </dataFields>
  <formats count="11">
    <format dxfId="32">
      <pivotArea collapsedLevelsAreSubtotals="1" fieldPosition="0">
        <references count="1">
          <reference field="11" count="1">
            <x v="1"/>
          </reference>
        </references>
      </pivotArea>
    </format>
    <format dxfId="31">
      <pivotArea collapsedLevelsAreSubtotals="1" fieldPosition="0">
        <references count="1">
          <reference field="11" count="1">
            <x v="2"/>
          </reference>
        </references>
      </pivotArea>
    </format>
    <format dxfId="30">
      <pivotArea collapsedLevelsAreSubtotals="1" fieldPosition="0">
        <references count="1">
          <reference field="11" count="1">
            <x v="3"/>
          </reference>
        </references>
      </pivotArea>
    </format>
    <format dxfId="29">
      <pivotArea collapsedLevelsAreSubtotals="1" fieldPosition="0">
        <references count="1">
          <reference field="11" count="7">
            <x v="4"/>
            <x v="5"/>
            <x v="6"/>
            <x v="7"/>
            <x v="8"/>
            <x v="9"/>
            <x v="10"/>
          </reference>
        </references>
      </pivotArea>
    </format>
    <format dxfId="28">
      <pivotArea type="all" dataOnly="0" outline="0" fieldPosition="0"/>
    </format>
    <format dxfId="27">
      <pivotArea outline="0" collapsedLevelsAreSubtotals="1" fieldPosition="0"/>
    </format>
    <format dxfId="26">
      <pivotArea field="11" type="button" dataOnly="0" labelOnly="1" outline="0" axis="axisRow" fieldPosition="0"/>
    </format>
    <format dxfId="25">
      <pivotArea dataOnly="0" labelOnly="1" fieldPosition="0">
        <references count="1">
          <reference field="11" count="10">
            <x v="1"/>
            <x v="2"/>
            <x v="3"/>
            <x v="4"/>
            <x v="5"/>
            <x v="6"/>
            <x v="7"/>
            <x v="8"/>
            <x v="9"/>
            <x v="10"/>
          </reference>
        </references>
      </pivotArea>
    </format>
    <format dxfId="24">
      <pivotArea dataOnly="0" labelOnly="1" grandRow="1" outline="0" fieldPosition="0"/>
    </format>
    <format dxfId="23">
      <pivotArea dataOnly="0" labelOnly="1" outline="0" axis="axisValues" fieldPosition="0"/>
    </format>
    <format dxfId="2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EA8D17-587A-4FE4-8622-E6E3A9999EF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67:B72" firstHeaderRow="1" firstDataRow="1" firstDataCol="1"/>
  <pivotFields count="12">
    <pivotField showAll="0"/>
    <pivotField showAll="0"/>
    <pivotField showAll="0">
      <items count="5">
        <item h="1" x="3"/>
        <item x="0"/>
        <item x="2"/>
        <item x="1"/>
        <item t="default"/>
      </items>
    </pivotField>
    <pivotField axis="axisRow" showAll="0">
      <items count="5">
        <item x="0"/>
        <item x="1"/>
        <item x="3"/>
        <item x="2"/>
        <item t="default"/>
      </items>
    </pivotField>
    <pivotField showAll="0"/>
    <pivotField showAll="0"/>
    <pivotField dataField="1"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Sales" fld="6" baseField="0" baseItem="0"/>
  </dataFields>
  <formats count="6">
    <format dxfId="38">
      <pivotArea type="all" dataOnly="0" outline="0" fieldPosition="0"/>
    </format>
    <format dxfId="37">
      <pivotArea outline="0" collapsedLevelsAreSubtotals="1" fieldPosition="0"/>
    </format>
    <format dxfId="36">
      <pivotArea field="11" type="button" dataOnly="0" labelOnly="1" outline="0"/>
    </format>
    <format dxfId="35">
      <pivotArea dataOnly="0" labelOnly="1" grandRow="1" outline="0" fieldPosition="0"/>
    </format>
    <format dxfId="34">
      <pivotArea dataOnly="0" labelOnly="1" outline="0" axis="axisValues" fieldPosition="0"/>
    </format>
    <format dxfId="33">
      <pivotArea outline="0" collapsedLevelsAreSubtotals="1" fieldPosition="0"/>
    </format>
  </formats>
  <chartFormats count="10">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3" count="1" selected="0">
            <x v="0"/>
          </reference>
        </references>
      </pivotArea>
    </chartFormat>
    <chartFormat chart="20" format="2">
      <pivotArea type="data" outline="0" fieldPosition="0">
        <references count="2">
          <reference field="4294967294" count="1" selected="0">
            <x v="0"/>
          </reference>
          <reference field="3" count="1" selected="0">
            <x v="1"/>
          </reference>
        </references>
      </pivotArea>
    </chartFormat>
    <chartFormat chart="20" format="3">
      <pivotArea type="data" outline="0" fieldPosition="0">
        <references count="2">
          <reference field="4294967294" count="1" selected="0">
            <x v="0"/>
          </reference>
          <reference field="3" count="1" selected="0">
            <x v="2"/>
          </reference>
        </references>
      </pivotArea>
    </chartFormat>
    <chartFormat chart="20" format="4">
      <pivotArea type="data" outline="0" fieldPosition="0">
        <references count="2">
          <reference field="4294967294" count="1" selected="0">
            <x v="0"/>
          </reference>
          <reference field="3" count="1" selected="0">
            <x v="3"/>
          </reference>
        </references>
      </pivotArea>
    </chartFormat>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3" count="1" selected="0">
            <x v="0"/>
          </reference>
        </references>
      </pivotArea>
    </chartFormat>
    <chartFormat chart="23" format="12">
      <pivotArea type="data" outline="0" fieldPosition="0">
        <references count="2">
          <reference field="4294967294" count="1" selected="0">
            <x v="0"/>
          </reference>
          <reference field="3" count="1" selected="0">
            <x v="1"/>
          </reference>
        </references>
      </pivotArea>
    </chartFormat>
    <chartFormat chart="23" format="13">
      <pivotArea type="data" outline="0" fieldPosition="0">
        <references count="2">
          <reference field="4294967294" count="1" selected="0">
            <x v="0"/>
          </reference>
          <reference field="3" count="1" selected="0">
            <x v="2"/>
          </reference>
        </references>
      </pivotArea>
    </chartFormat>
    <chartFormat chart="2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D99E5A-FB13-4F16-B033-9308FE589C4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7:B62" firstHeaderRow="1" firstDataRow="1" firstDataCol="1"/>
  <pivotFields count="12">
    <pivotField showAll="0"/>
    <pivotField showAll="0"/>
    <pivotField showAll="0">
      <items count="5">
        <item h="1" x="3"/>
        <item x="0"/>
        <item x="2"/>
        <item x="1"/>
        <item t="default"/>
      </items>
    </pivotField>
    <pivotField axis="axisRow"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Profit" fld="9" baseField="0" baseItem="0"/>
  </dataFields>
  <formats count="6">
    <format dxfId="44">
      <pivotArea type="all" dataOnly="0" outline="0" fieldPosition="0"/>
    </format>
    <format dxfId="43">
      <pivotArea outline="0" collapsedLevelsAreSubtotals="1" fieldPosition="0"/>
    </format>
    <format dxfId="42">
      <pivotArea field="11" type="button" dataOnly="0" labelOnly="1" outline="0"/>
    </format>
    <format dxfId="41">
      <pivotArea dataOnly="0" labelOnly="1" grandRow="1" outline="0" fieldPosition="0"/>
    </format>
    <format dxfId="40">
      <pivotArea dataOnly="0" labelOnly="1" outline="0" axis="axisValues" fieldPosition="0"/>
    </format>
    <format dxfId="39">
      <pivotArea outline="0" collapsedLevelsAreSubtotals="1" fieldPosition="0"/>
    </format>
  </formats>
  <chartFormats count="10">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3" count="1" selected="0">
            <x v="0"/>
          </reference>
        </references>
      </pivotArea>
    </chartFormat>
    <chartFormat chart="19" format="8">
      <pivotArea type="data" outline="0" fieldPosition="0">
        <references count="2">
          <reference field="4294967294" count="1" selected="0">
            <x v="0"/>
          </reference>
          <reference field="3" count="1" selected="0">
            <x v="1"/>
          </reference>
        </references>
      </pivotArea>
    </chartFormat>
    <chartFormat chart="19" format="9">
      <pivotArea type="data" outline="0" fieldPosition="0">
        <references count="2">
          <reference field="4294967294" count="1" selected="0">
            <x v="0"/>
          </reference>
          <reference field="3" count="1" selected="0">
            <x v="2"/>
          </reference>
        </references>
      </pivotArea>
    </chartFormat>
    <chartFormat chart="19" format="10">
      <pivotArea type="data" outline="0" fieldPosition="0">
        <references count="2">
          <reference field="4294967294" count="1" selected="0">
            <x v="0"/>
          </reference>
          <reference field="3" count="1" selected="0">
            <x v="3"/>
          </reference>
        </references>
      </pivotArea>
    </chartFormat>
    <chartFormat chart="16" format="1">
      <pivotArea type="data" outline="0" fieldPosition="0">
        <references count="2">
          <reference field="4294967294" count="1" selected="0">
            <x v="0"/>
          </reference>
          <reference field="3" count="1" selected="0">
            <x v="0"/>
          </reference>
        </references>
      </pivotArea>
    </chartFormat>
    <chartFormat chart="16" format="2">
      <pivotArea type="data" outline="0" fieldPosition="0">
        <references count="2">
          <reference field="4294967294" count="1" selected="0">
            <x v="0"/>
          </reference>
          <reference field="3" count="1" selected="0">
            <x v="1"/>
          </reference>
        </references>
      </pivotArea>
    </chartFormat>
    <chartFormat chart="16" format="3">
      <pivotArea type="data" outline="0" fieldPosition="0">
        <references count="2">
          <reference field="4294967294" count="1" selected="0">
            <x v="0"/>
          </reference>
          <reference field="3" count="1" selected="0">
            <x v="2"/>
          </reference>
        </references>
      </pivotArea>
    </chartFormat>
    <chartFormat chart="16"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02DEDC7-9AA6-4438-B37F-EF8178313BC0}" autoFormatId="16" applyNumberFormats="0" applyBorderFormats="0" applyFontFormats="0" applyPatternFormats="0" applyAlignmentFormats="0" applyWidthHeightFormats="0">
  <queryTableRefresh nextId="11">
    <queryTableFields count="10">
      <queryTableField id="1" name="OrderID" tableColumnId="1"/>
      <queryTableField id="2" name="Customer" tableColumnId="2"/>
      <queryTableField id="3" name="Region" tableColumnId="3"/>
      <queryTableField id="4" name="Category" tableColumnId="4"/>
      <queryTableField id="5" name="Product" tableColumnId="5"/>
      <queryTableField id="6" name="Quantity" tableColumnId="6"/>
      <queryTableField id="7" name="Sales" tableColumnId="7"/>
      <queryTableField id="8" name="Date" tableColumnId="8"/>
      <queryTableField id="9" name="Total" tableColumnId="9"/>
      <queryTableField id="10" name="Profi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94C10B-8A6A-4C40-B2B8-8AA159EFCDCC}" sourceName="Region">
  <pivotTables>
    <pivotTable tabId="4" name="PivotTable2"/>
    <pivotTable tabId="4" name="PivotTable3"/>
    <pivotTable tabId="4" name="PivotTable4"/>
    <pivotTable tabId="4" name="PivotTable5"/>
    <pivotTable tabId="4" name="PivotTable6"/>
    <pivotTable tabId="4" name="PivotTable1"/>
  </pivotTables>
  <data>
    <tabular pivotCacheId="1479351323">
      <items count="4">
        <i x="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6D9F8A-3A22-4814-BA90-59ACC20CBE0E}" sourceName="Category">
  <pivotTables>
    <pivotTable tabId="4" name="PivotTable2"/>
    <pivotTable tabId="4" name="PivotTable1"/>
    <pivotTable tabId="4" name="PivotTable3"/>
    <pivotTable tabId="4" name="PivotTable4"/>
    <pivotTable tabId="4" name="PivotTable5"/>
    <pivotTable tabId="4" name="PivotTable6"/>
  </pivotTables>
  <data>
    <tabular pivotCacheId="1479351323">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861DB06-8B25-4E6C-B1C9-055FBDB16AD8}" cache="Slicer_Region" caption="Region" startItem="1" rowHeight="234950"/>
  <slicer name="Category 1" xr10:uid="{F37ACABE-3B16-47B9-892D-0C803E577FB9}"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82C992-CEAC-4F2C-B770-DAB2B69E2E72}" cache="Slicer_Region" caption="Region" rowHeight="234950"/>
  <slicer name="Category" xr10:uid="{97635D51-F651-4F17-8C5E-325931B375FE}"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71524E-898C-401E-913D-15BF9E6BB133}" name="sales_data_large__2" displayName="sales_data_large__2" ref="A1:J301" tableType="queryTable" totalsRowShown="0">
  <autoFilter ref="A1:J301" xr:uid="{CC71524E-898C-401E-913D-15BF9E6BB133}"/>
  <tableColumns count="10">
    <tableColumn id="1" xr3:uid="{7178468C-EDA2-45A6-B4A6-232AFEB1EDD6}" uniqueName="1" name="OrderID" queryTableFieldId="1"/>
    <tableColumn id="2" xr3:uid="{BD799017-CC30-436F-9419-FB1FCF7492F8}" uniqueName="2" name="Customer" queryTableFieldId="2" dataDxfId="49"/>
    <tableColumn id="3" xr3:uid="{F1F67FAD-333A-4C74-A648-3771913389FE}" uniqueName="3" name="Region" queryTableFieldId="3" dataDxfId="48"/>
    <tableColumn id="4" xr3:uid="{DF73EB3D-1439-420C-9867-C8CEDF4D65B2}" uniqueName="4" name="Category" queryTableFieldId="4" dataDxfId="47"/>
    <tableColumn id="5" xr3:uid="{A6DA4332-6F1F-4804-B184-DBEE91E2A593}" uniqueName="5" name="Product" queryTableFieldId="5" dataDxfId="46"/>
    <tableColumn id="6" xr3:uid="{DE583886-A0C2-480B-A834-0CACEA808C0C}" uniqueName="6" name="Quantity" queryTableFieldId="6"/>
    <tableColumn id="7" xr3:uid="{E7710695-8858-446E-905A-EBF819817E2B}" uniqueName="7" name="Sales" queryTableFieldId="7"/>
    <tableColumn id="8" xr3:uid="{6609C37D-F005-4853-8CDA-83C9B29482FC}" uniqueName="8" name="Date" queryTableFieldId="8" dataDxfId="45"/>
    <tableColumn id="9" xr3:uid="{A42E02DF-1753-48ED-A676-9DA178A6A537}" uniqueName="9" name="Total" queryTableFieldId="9"/>
    <tableColumn id="10" xr3:uid="{2FFFD7B2-1605-4FAE-8DF5-9FA0CA2E49AD}" uniqueName="10" name="Profit"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6FE22-4EA8-4CA2-9E6C-76BDFA1F5D43}">
  <dimension ref="A1"/>
  <sheetViews>
    <sheetView showGridLines="0" tabSelected="1" topLeftCell="A4" zoomScale="106" workbookViewId="0">
      <selection activeCell="L33" sqref="L33"/>
    </sheetView>
  </sheetViews>
  <sheetFormatPr defaultRowHeight="14.4" x14ac:dyDescent="0.3"/>
  <cols>
    <col min="22" max="22" width="13.554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96799-EA73-4B12-A27E-B4270645B5DB}">
  <dimension ref="A1:J301"/>
  <sheetViews>
    <sheetView workbookViewId="0"/>
  </sheetViews>
  <sheetFormatPr defaultRowHeight="14.4" x14ac:dyDescent="0.3"/>
  <cols>
    <col min="1" max="1" width="9.77734375" bestFit="1" customWidth="1"/>
    <col min="2" max="2" width="11.33203125" bestFit="1" customWidth="1"/>
    <col min="3" max="3" width="9" bestFit="1" customWidth="1"/>
    <col min="4" max="4" width="15.109375" bestFit="1" customWidth="1"/>
    <col min="5" max="5" width="11.109375" bestFit="1" customWidth="1"/>
    <col min="6" max="6" width="10.5546875" bestFit="1" customWidth="1"/>
    <col min="7" max="7" width="7.44140625" bestFit="1" customWidth="1"/>
    <col min="8" max="8" width="10.33203125" bestFit="1" customWidth="1"/>
    <col min="9" max="9" width="7.44140625" bestFit="1" customWidth="1"/>
    <col min="10" max="10" width="7.88671875" bestFit="1" customWidth="1"/>
  </cols>
  <sheetData>
    <row r="1" spans="1:10" x14ac:dyDescent="0.3">
      <c r="A1" t="s">
        <v>0</v>
      </c>
      <c r="B1" t="s">
        <v>1</v>
      </c>
      <c r="C1" t="s">
        <v>2</v>
      </c>
      <c r="D1" t="s">
        <v>3</v>
      </c>
      <c r="E1" t="s">
        <v>4</v>
      </c>
      <c r="F1" t="s">
        <v>5</v>
      </c>
      <c r="G1" t="s">
        <v>6</v>
      </c>
      <c r="H1" s="1" t="s">
        <v>7</v>
      </c>
      <c r="I1" t="s">
        <v>8</v>
      </c>
      <c r="J1" t="s">
        <v>9</v>
      </c>
    </row>
    <row r="2" spans="1:10" x14ac:dyDescent="0.3">
      <c r="A2">
        <v>1001</v>
      </c>
      <c r="B2" t="s">
        <v>10</v>
      </c>
      <c r="C2" t="s">
        <v>11</v>
      </c>
      <c r="D2" t="s">
        <v>12</v>
      </c>
      <c r="E2" t="s">
        <v>13</v>
      </c>
      <c r="F2">
        <v>1</v>
      </c>
      <c r="G2">
        <v>13875</v>
      </c>
      <c r="H2" s="1">
        <v>44927</v>
      </c>
      <c r="I2">
        <v>13875</v>
      </c>
      <c r="J2">
        <v>2775</v>
      </c>
    </row>
    <row r="3" spans="1:10" x14ac:dyDescent="0.3">
      <c r="A3">
        <v>1002</v>
      </c>
      <c r="B3" t="s">
        <v>14</v>
      </c>
      <c r="C3" t="s">
        <v>15</v>
      </c>
      <c r="D3" t="s">
        <v>16</v>
      </c>
      <c r="E3" t="s">
        <v>17</v>
      </c>
      <c r="F3">
        <v>6</v>
      </c>
      <c r="G3">
        <v>2622</v>
      </c>
      <c r="H3" s="1">
        <v>44928</v>
      </c>
      <c r="I3">
        <v>15732</v>
      </c>
      <c r="J3">
        <v>524.4</v>
      </c>
    </row>
    <row r="4" spans="1:10" x14ac:dyDescent="0.3">
      <c r="A4">
        <v>1003</v>
      </c>
      <c r="B4" t="s">
        <v>18</v>
      </c>
      <c r="C4" t="s">
        <v>11</v>
      </c>
      <c r="D4" t="s">
        <v>19</v>
      </c>
      <c r="E4" t="s">
        <v>20</v>
      </c>
      <c r="F4">
        <v>5</v>
      </c>
      <c r="G4">
        <v>49756</v>
      </c>
      <c r="H4" s="1">
        <v>44929</v>
      </c>
      <c r="I4">
        <v>248780</v>
      </c>
      <c r="J4">
        <v>9951.2000000000007</v>
      </c>
    </row>
    <row r="5" spans="1:10" x14ac:dyDescent="0.3">
      <c r="A5">
        <v>1004</v>
      </c>
      <c r="B5" t="s">
        <v>21</v>
      </c>
      <c r="C5" t="s">
        <v>11</v>
      </c>
      <c r="D5" t="s">
        <v>22</v>
      </c>
      <c r="E5" t="s">
        <v>23</v>
      </c>
      <c r="F5">
        <v>4</v>
      </c>
      <c r="G5">
        <v>41809</v>
      </c>
      <c r="H5" s="1">
        <v>44930</v>
      </c>
      <c r="I5">
        <v>167236</v>
      </c>
      <c r="J5">
        <v>8361.8000000000011</v>
      </c>
    </row>
    <row r="6" spans="1:10" x14ac:dyDescent="0.3">
      <c r="A6">
        <v>1005</v>
      </c>
      <c r="B6" t="s">
        <v>10</v>
      </c>
      <c r="C6" t="s">
        <v>24</v>
      </c>
      <c r="D6" t="s">
        <v>19</v>
      </c>
      <c r="E6" t="s">
        <v>20</v>
      </c>
      <c r="F6">
        <v>3</v>
      </c>
      <c r="G6">
        <v>17725</v>
      </c>
      <c r="H6" s="1">
        <v>44931</v>
      </c>
      <c r="I6">
        <v>53175</v>
      </c>
      <c r="J6">
        <v>3545</v>
      </c>
    </row>
    <row r="7" spans="1:10" x14ac:dyDescent="0.3">
      <c r="A7">
        <v>1006</v>
      </c>
      <c r="B7" t="s">
        <v>25</v>
      </c>
      <c r="C7" t="s">
        <v>11</v>
      </c>
      <c r="D7" t="s">
        <v>22</v>
      </c>
      <c r="E7" t="s">
        <v>13</v>
      </c>
      <c r="F7">
        <v>1</v>
      </c>
      <c r="G7">
        <v>41760</v>
      </c>
      <c r="H7" s="1">
        <v>44932</v>
      </c>
      <c r="I7">
        <v>41760</v>
      </c>
      <c r="J7">
        <v>8352</v>
      </c>
    </row>
    <row r="8" spans="1:10" x14ac:dyDescent="0.3">
      <c r="A8">
        <v>1007</v>
      </c>
      <c r="B8" t="s">
        <v>26</v>
      </c>
      <c r="C8" t="s">
        <v>27</v>
      </c>
      <c r="D8" t="s">
        <v>12</v>
      </c>
      <c r="E8" t="s">
        <v>13</v>
      </c>
      <c r="F8">
        <v>6</v>
      </c>
      <c r="G8">
        <v>16646</v>
      </c>
      <c r="H8" s="1">
        <v>44933</v>
      </c>
      <c r="I8">
        <v>99876</v>
      </c>
      <c r="J8">
        <v>3329.2000000000003</v>
      </c>
    </row>
    <row r="9" spans="1:10" x14ac:dyDescent="0.3">
      <c r="A9">
        <v>1008</v>
      </c>
      <c r="B9" t="s">
        <v>10</v>
      </c>
      <c r="C9" t="s">
        <v>27</v>
      </c>
      <c r="D9" t="s">
        <v>22</v>
      </c>
      <c r="E9" t="s">
        <v>13</v>
      </c>
      <c r="F9">
        <v>2</v>
      </c>
      <c r="G9">
        <v>18029</v>
      </c>
      <c r="H9" s="1">
        <v>44934</v>
      </c>
      <c r="I9">
        <v>36058</v>
      </c>
      <c r="J9">
        <v>3605.8</v>
      </c>
    </row>
    <row r="10" spans="1:10" x14ac:dyDescent="0.3">
      <c r="A10">
        <v>1009</v>
      </c>
      <c r="B10" t="s">
        <v>18</v>
      </c>
      <c r="C10" t="s">
        <v>15</v>
      </c>
      <c r="D10" t="s">
        <v>12</v>
      </c>
      <c r="E10" t="s">
        <v>28</v>
      </c>
      <c r="F10">
        <v>8</v>
      </c>
      <c r="G10">
        <v>30402</v>
      </c>
      <c r="H10" s="1">
        <v>44935</v>
      </c>
      <c r="I10">
        <v>243216</v>
      </c>
      <c r="J10">
        <v>6080.4000000000015</v>
      </c>
    </row>
    <row r="11" spans="1:10" x14ac:dyDescent="0.3">
      <c r="A11">
        <v>1010</v>
      </c>
      <c r="B11" t="s">
        <v>21</v>
      </c>
      <c r="C11" t="s">
        <v>11</v>
      </c>
      <c r="D11" t="s">
        <v>22</v>
      </c>
      <c r="E11" t="s">
        <v>28</v>
      </c>
      <c r="F11">
        <v>5</v>
      </c>
      <c r="G11">
        <v>5263</v>
      </c>
      <c r="H11" s="1">
        <v>44936</v>
      </c>
      <c r="I11">
        <v>26315</v>
      </c>
      <c r="J11">
        <v>1052.6000000000001</v>
      </c>
    </row>
    <row r="12" spans="1:10" x14ac:dyDescent="0.3">
      <c r="A12">
        <v>1011</v>
      </c>
      <c r="B12" t="s">
        <v>14</v>
      </c>
      <c r="C12" t="s">
        <v>15</v>
      </c>
      <c r="D12" t="s">
        <v>12</v>
      </c>
      <c r="E12" t="s">
        <v>29</v>
      </c>
      <c r="F12">
        <v>7</v>
      </c>
      <c r="G12">
        <v>31987</v>
      </c>
      <c r="H12" s="1">
        <v>44937</v>
      </c>
      <c r="I12">
        <v>223909</v>
      </c>
      <c r="J12">
        <v>6397.4000000000015</v>
      </c>
    </row>
    <row r="13" spans="1:10" x14ac:dyDescent="0.3">
      <c r="A13">
        <v>1012</v>
      </c>
      <c r="B13" t="s">
        <v>18</v>
      </c>
      <c r="C13" t="s">
        <v>27</v>
      </c>
      <c r="D13" t="s">
        <v>22</v>
      </c>
      <c r="E13" t="s">
        <v>29</v>
      </c>
      <c r="F13">
        <v>2</v>
      </c>
      <c r="G13">
        <v>47828</v>
      </c>
      <c r="H13" s="1">
        <v>44938</v>
      </c>
      <c r="I13">
        <v>95656</v>
      </c>
      <c r="J13">
        <v>9565.6</v>
      </c>
    </row>
    <row r="14" spans="1:10" x14ac:dyDescent="0.3">
      <c r="A14">
        <v>1013</v>
      </c>
      <c r="B14" t="s">
        <v>18</v>
      </c>
      <c r="C14" t="s">
        <v>11</v>
      </c>
      <c r="D14" t="s">
        <v>16</v>
      </c>
      <c r="E14" t="s">
        <v>13</v>
      </c>
      <c r="F14">
        <v>8</v>
      </c>
      <c r="G14">
        <v>48924</v>
      </c>
      <c r="H14" s="1">
        <v>44939</v>
      </c>
      <c r="I14">
        <v>391392</v>
      </c>
      <c r="J14">
        <v>9784.8000000000011</v>
      </c>
    </row>
    <row r="15" spans="1:10" x14ac:dyDescent="0.3">
      <c r="A15">
        <v>1014</v>
      </c>
      <c r="B15" t="s">
        <v>26</v>
      </c>
      <c r="C15" t="s">
        <v>11</v>
      </c>
      <c r="D15" t="s">
        <v>22</v>
      </c>
      <c r="E15" t="s">
        <v>17</v>
      </c>
      <c r="F15">
        <v>2</v>
      </c>
      <c r="G15">
        <v>9646</v>
      </c>
      <c r="H15" s="1">
        <v>44940</v>
      </c>
      <c r="I15">
        <v>19292</v>
      </c>
      <c r="J15">
        <v>1929.2</v>
      </c>
    </row>
    <row r="16" spans="1:10" x14ac:dyDescent="0.3">
      <c r="A16">
        <v>1015</v>
      </c>
      <c r="B16" t="s">
        <v>30</v>
      </c>
      <c r="C16" t="s">
        <v>15</v>
      </c>
      <c r="D16" t="s">
        <v>22</v>
      </c>
      <c r="E16" t="s">
        <v>31</v>
      </c>
      <c r="F16">
        <v>4</v>
      </c>
      <c r="G16">
        <v>28529</v>
      </c>
      <c r="H16" s="1">
        <v>44941</v>
      </c>
      <c r="I16">
        <v>114116</v>
      </c>
      <c r="J16">
        <v>5705.8</v>
      </c>
    </row>
    <row r="17" spans="1:10" x14ac:dyDescent="0.3">
      <c r="A17">
        <v>1016</v>
      </c>
      <c r="B17" t="s">
        <v>21</v>
      </c>
      <c r="C17" t="s">
        <v>27</v>
      </c>
      <c r="D17" t="s">
        <v>16</v>
      </c>
      <c r="E17" t="s">
        <v>28</v>
      </c>
      <c r="F17">
        <v>1</v>
      </c>
      <c r="G17">
        <v>12664</v>
      </c>
      <c r="H17" s="1">
        <v>44942</v>
      </c>
      <c r="I17">
        <v>12664</v>
      </c>
      <c r="J17">
        <v>2532.8000000000002</v>
      </c>
    </row>
    <row r="18" spans="1:10" x14ac:dyDescent="0.3">
      <c r="A18">
        <v>1017</v>
      </c>
      <c r="B18" t="s">
        <v>32</v>
      </c>
      <c r="C18" t="s">
        <v>11</v>
      </c>
      <c r="D18" t="s">
        <v>19</v>
      </c>
      <c r="E18" t="s">
        <v>17</v>
      </c>
      <c r="F18">
        <v>5</v>
      </c>
      <c r="G18">
        <v>36737</v>
      </c>
      <c r="H18" s="1">
        <v>44943</v>
      </c>
      <c r="I18">
        <v>183685</v>
      </c>
      <c r="J18">
        <v>7347.4000000000015</v>
      </c>
    </row>
    <row r="19" spans="1:10" x14ac:dyDescent="0.3">
      <c r="A19">
        <v>1018</v>
      </c>
      <c r="B19" t="s">
        <v>18</v>
      </c>
      <c r="C19" t="s">
        <v>15</v>
      </c>
      <c r="D19" t="s">
        <v>19</v>
      </c>
      <c r="E19" t="s">
        <v>33</v>
      </c>
      <c r="F19">
        <v>9</v>
      </c>
      <c r="G19">
        <v>36796</v>
      </c>
      <c r="H19" s="1">
        <v>44944</v>
      </c>
      <c r="I19">
        <v>331164</v>
      </c>
      <c r="J19">
        <v>7359.2000000000007</v>
      </c>
    </row>
    <row r="20" spans="1:10" x14ac:dyDescent="0.3">
      <c r="A20">
        <v>1019</v>
      </c>
      <c r="B20" t="s">
        <v>30</v>
      </c>
      <c r="C20" t="s">
        <v>27</v>
      </c>
      <c r="D20" t="s">
        <v>22</v>
      </c>
      <c r="E20" t="s">
        <v>28</v>
      </c>
      <c r="F20">
        <v>1</v>
      </c>
      <c r="G20">
        <v>25027</v>
      </c>
      <c r="H20" s="1">
        <v>44945</v>
      </c>
      <c r="I20">
        <v>25027</v>
      </c>
      <c r="J20">
        <v>5005.4000000000005</v>
      </c>
    </row>
    <row r="21" spans="1:10" x14ac:dyDescent="0.3">
      <c r="A21">
        <v>1020</v>
      </c>
      <c r="B21" t="s">
        <v>32</v>
      </c>
      <c r="C21" t="s">
        <v>15</v>
      </c>
      <c r="D21" t="s">
        <v>16</v>
      </c>
      <c r="E21" t="s">
        <v>28</v>
      </c>
      <c r="F21">
        <v>9</v>
      </c>
      <c r="G21">
        <v>30373</v>
      </c>
      <c r="H21" s="1">
        <v>44946</v>
      </c>
      <c r="I21">
        <v>273357</v>
      </c>
      <c r="J21">
        <v>6074.6</v>
      </c>
    </row>
    <row r="22" spans="1:10" x14ac:dyDescent="0.3">
      <c r="A22">
        <v>1021</v>
      </c>
      <c r="B22" t="s">
        <v>21</v>
      </c>
      <c r="C22" t="s">
        <v>24</v>
      </c>
      <c r="D22" t="s">
        <v>22</v>
      </c>
      <c r="E22" t="s">
        <v>29</v>
      </c>
      <c r="F22">
        <v>8</v>
      </c>
      <c r="G22">
        <v>37397</v>
      </c>
      <c r="H22" s="1">
        <v>44947</v>
      </c>
      <c r="I22">
        <v>299176</v>
      </c>
      <c r="J22">
        <v>7479.4000000000015</v>
      </c>
    </row>
    <row r="23" spans="1:10" x14ac:dyDescent="0.3">
      <c r="A23">
        <v>1022</v>
      </c>
      <c r="B23" t="s">
        <v>34</v>
      </c>
      <c r="C23" t="s">
        <v>11</v>
      </c>
      <c r="D23" t="s">
        <v>12</v>
      </c>
      <c r="E23" t="s">
        <v>31</v>
      </c>
      <c r="F23">
        <v>6</v>
      </c>
      <c r="G23">
        <v>21609</v>
      </c>
      <c r="H23" s="1">
        <v>44948</v>
      </c>
      <c r="I23">
        <v>129654</v>
      </c>
      <c r="J23">
        <v>4321.8</v>
      </c>
    </row>
    <row r="24" spans="1:10" x14ac:dyDescent="0.3">
      <c r="A24">
        <v>1023</v>
      </c>
      <c r="B24" t="s">
        <v>25</v>
      </c>
      <c r="C24" t="s">
        <v>24</v>
      </c>
      <c r="D24" t="s">
        <v>12</v>
      </c>
      <c r="E24" t="s">
        <v>31</v>
      </c>
      <c r="F24">
        <v>7</v>
      </c>
      <c r="G24">
        <v>36835</v>
      </c>
      <c r="H24" s="1">
        <v>44949</v>
      </c>
      <c r="I24">
        <v>257845</v>
      </c>
      <c r="J24">
        <v>7367</v>
      </c>
    </row>
    <row r="25" spans="1:10" x14ac:dyDescent="0.3">
      <c r="A25">
        <v>1024</v>
      </c>
      <c r="B25" t="s">
        <v>30</v>
      </c>
      <c r="C25" t="s">
        <v>27</v>
      </c>
      <c r="D25" t="s">
        <v>22</v>
      </c>
      <c r="E25" t="s">
        <v>23</v>
      </c>
      <c r="F25">
        <v>3</v>
      </c>
      <c r="G25">
        <v>39709</v>
      </c>
      <c r="H25" s="1">
        <v>44950</v>
      </c>
      <c r="I25">
        <v>119127</v>
      </c>
      <c r="J25">
        <v>7941.8</v>
      </c>
    </row>
    <row r="26" spans="1:10" x14ac:dyDescent="0.3">
      <c r="A26">
        <v>1025</v>
      </c>
      <c r="B26" t="s">
        <v>35</v>
      </c>
      <c r="C26" t="s">
        <v>24</v>
      </c>
      <c r="D26" t="s">
        <v>19</v>
      </c>
      <c r="E26" t="s">
        <v>20</v>
      </c>
      <c r="F26">
        <v>1</v>
      </c>
      <c r="G26">
        <v>20250</v>
      </c>
      <c r="H26" s="1">
        <v>44951</v>
      </c>
      <c r="I26">
        <v>20250</v>
      </c>
      <c r="J26">
        <v>4050</v>
      </c>
    </row>
    <row r="27" spans="1:10" x14ac:dyDescent="0.3">
      <c r="A27">
        <v>1026</v>
      </c>
      <c r="B27" t="s">
        <v>34</v>
      </c>
      <c r="C27" t="s">
        <v>24</v>
      </c>
      <c r="D27" t="s">
        <v>19</v>
      </c>
      <c r="E27" t="s">
        <v>20</v>
      </c>
      <c r="F27">
        <v>5</v>
      </c>
      <c r="G27">
        <v>22172</v>
      </c>
      <c r="H27" s="1">
        <v>44952</v>
      </c>
      <c r="I27">
        <v>110860</v>
      </c>
      <c r="J27">
        <v>4434.4000000000015</v>
      </c>
    </row>
    <row r="28" spans="1:10" x14ac:dyDescent="0.3">
      <c r="A28">
        <v>1027</v>
      </c>
      <c r="B28" t="s">
        <v>25</v>
      </c>
      <c r="C28" t="s">
        <v>27</v>
      </c>
      <c r="D28" t="s">
        <v>22</v>
      </c>
      <c r="E28" t="s">
        <v>20</v>
      </c>
      <c r="F28">
        <v>2</v>
      </c>
      <c r="G28">
        <v>12555</v>
      </c>
      <c r="H28" s="1">
        <v>44953</v>
      </c>
      <c r="I28">
        <v>25110</v>
      </c>
      <c r="J28">
        <v>2511</v>
      </c>
    </row>
    <row r="29" spans="1:10" x14ac:dyDescent="0.3">
      <c r="A29">
        <v>1028</v>
      </c>
      <c r="B29" t="s">
        <v>26</v>
      </c>
      <c r="C29" t="s">
        <v>15</v>
      </c>
      <c r="D29" t="s">
        <v>22</v>
      </c>
      <c r="E29" t="s">
        <v>20</v>
      </c>
      <c r="F29">
        <v>5</v>
      </c>
      <c r="G29">
        <v>22874</v>
      </c>
      <c r="H29" s="1">
        <v>44954</v>
      </c>
      <c r="I29">
        <v>114370</v>
      </c>
      <c r="J29">
        <v>4574.8</v>
      </c>
    </row>
    <row r="30" spans="1:10" x14ac:dyDescent="0.3">
      <c r="A30">
        <v>1029</v>
      </c>
      <c r="B30" t="s">
        <v>10</v>
      </c>
      <c r="C30" t="s">
        <v>24</v>
      </c>
      <c r="D30" t="s">
        <v>12</v>
      </c>
      <c r="E30" t="s">
        <v>33</v>
      </c>
      <c r="F30">
        <v>8</v>
      </c>
      <c r="G30">
        <v>14081</v>
      </c>
      <c r="H30" s="1">
        <v>44955</v>
      </c>
      <c r="I30">
        <v>112648</v>
      </c>
      <c r="J30">
        <v>2816.2000000000003</v>
      </c>
    </row>
    <row r="31" spans="1:10" x14ac:dyDescent="0.3">
      <c r="A31">
        <v>1030</v>
      </c>
      <c r="B31" t="s">
        <v>14</v>
      </c>
      <c r="C31" t="s">
        <v>15</v>
      </c>
      <c r="D31" t="s">
        <v>19</v>
      </c>
      <c r="E31" t="s">
        <v>33</v>
      </c>
      <c r="F31">
        <v>9</v>
      </c>
      <c r="G31">
        <v>25063</v>
      </c>
      <c r="H31" s="1">
        <v>44956</v>
      </c>
      <c r="I31">
        <v>225567</v>
      </c>
      <c r="J31">
        <v>5012.6000000000004</v>
      </c>
    </row>
    <row r="32" spans="1:10" x14ac:dyDescent="0.3">
      <c r="A32">
        <v>1031</v>
      </c>
      <c r="B32" t="s">
        <v>35</v>
      </c>
      <c r="C32" t="s">
        <v>24</v>
      </c>
      <c r="D32" t="s">
        <v>22</v>
      </c>
      <c r="E32" t="s">
        <v>28</v>
      </c>
      <c r="F32">
        <v>2</v>
      </c>
      <c r="G32">
        <v>7819</v>
      </c>
      <c r="H32" s="1">
        <v>44957</v>
      </c>
      <c r="I32">
        <v>15638</v>
      </c>
      <c r="J32">
        <v>1563.8000000000002</v>
      </c>
    </row>
    <row r="33" spans="1:10" x14ac:dyDescent="0.3">
      <c r="A33">
        <v>1032</v>
      </c>
      <c r="B33" t="s">
        <v>26</v>
      </c>
      <c r="C33" t="s">
        <v>15</v>
      </c>
      <c r="D33" t="s">
        <v>12</v>
      </c>
      <c r="E33" t="s">
        <v>13</v>
      </c>
      <c r="F33">
        <v>3</v>
      </c>
      <c r="G33">
        <v>26712</v>
      </c>
      <c r="H33" s="1">
        <v>44958</v>
      </c>
      <c r="I33">
        <v>80136</v>
      </c>
      <c r="J33">
        <v>5342.4000000000015</v>
      </c>
    </row>
    <row r="34" spans="1:10" x14ac:dyDescent="0.3">
      <c r="A34">
        <v>1033</v>
      </c>
      <c r="B34" t="s">
        <v>21</v>
      </c>
      <c r="C34" t="s">
        <v>27</v>
      </c>
      <c r="D34" t="s">
        <v>19</v>
      </c>
      <c r="E34" t="s">
        <v>29</v>
      </c>
      <c r="F34">
        <v>3</v>
      </c>
      <c r="G34">
        <v>25762</v>
      </c>
      <c r="H34" s="1">
        <v>44959</v>
      </c>
      <c r="I34">
        <v>77286</v>
      </c>
      <c r="J34">
        <v>5152.4000000000015</v>
      </c>
    </row>
    <row r="35" spans="1:10" x14ac:dyDescent="0.3">
      <c r="A35">
        <v>1034</v>
      </c>
      <c r="B35" t="s">
        <v>26</v>
      </c>
      <c r="C35" t="s">
        <v>24</v>
      </c>
      <c r="D35" t="s">
        <v>16</v>
      </c>
      <c r="E35" t="s">
        <v>29</v>
      </c>
      <c r="F35">
        <v>1</v>
      </c>
      <c r="G35">
        <v>12046</v>
      </c>
      <c r="H35" s="1">
        <v>44960</v>
      </c>
      <c r="I35">
        <v>12046</v>
      </c>
      <c r="J35">
        <v>2409.2000000000003</v>
      </c>
    </row>
    <row r="36" spans="1:10" x14ac:dyDescent="0.3">
      <c r="A36">
        <v>1035</v>
      </c>
      <c r="B36" t="s">
        <v>10</v>
      </c>
      <c r="C36" t="s">
        <v>27</v>
      </c>
      <c r="D36" t="s">
        <v>12</v>
      </c>
      <c r="E36" t="s">
        <v>20</v>
      </c>
      <c r="F36">
        <v>8</v>
      </c>
      <c r="G36">
        <v>32463</v>
      </c>
      <c r="H36" s="1">
        <v>44961</v>
      </c>
      <c r="I36">
        <v>259704</v>
      </c>
      <c r="J36">
        <v>6492.6</v>
      </c>
    </row>
    <row r="37" spans="1:10" x14ac:dyDescent="0.3">
      <c r="A37">
        <v>1036</v>
      </c>
      <c r="B37" t="s">
        <v>21</v>
      </c>
      <c r="C37" t="s">
        <v>24</v>
      </c>
      <c r="D37" t="s">
        <v>19</v>
      </c>
      <c r="E37" t="s">
        <v>28</v>
      </c>
      <c r="F37">
        <v>6</v>
      </c>
      <c r="G37">
        <v>29769</v>
      </c>
      <c r="H37" s="1">
        <v>44962</v>
      </c>
      <c r="I37">
        <v>178614</v>
      </c>
      <c r="J37">
        <v>5953.8</v>
      </c>
    </row>
    <row r="38" spans="1:10" x14ac:dyDescent="0.3">
      <c r="A38">
        <v>1037</v>
      </c>
      <c r="B38" t="s">
        <v>35</v>
      </c>
      <c r="C38" t="s">
        <v>27</v>
      </c>
      <c r="D38" t="s">
        <v>19</v>
      </c>
      <c r="E38" t="s">
        <v>23</v>
      </c>
      <c r="F38">
        <v>8</v>
      </c>
      <c r="G38">
        <v>24150</v>
      </c>
      <c r="H38" s="1">
        <v>44963</v>
      </c>
      <c r="I38">
        <v>193200</v>
      </c>
      <c r="J38">
        <v>4830</v>
      </c>
    </row>
    <row r="39" spans="1:10" x14ac:dyDescent="0.3">
      <c r="A39">
        <v>1038</v>
      </c>
      <c r="B39" t="s">
        <v>10</v>
      </c>
      <c r="C39" t="s">
        <v>27</v>
      </c>
      <c r="D39" t="s">
        <v>12</v>
      </c>
      <c r="E39" t="s">
        <v>17</v>
      </c>
      <c r="F39">
        <v>9</v>
      </c>
      <c r="G39">
        <v>3711</v>
      </c>
      <c r="H39" s="1">
        <v>44964</v>
      </c>
      <c r="I39">
        <v>33399</v>
      </c>
      <c r="J39">
        <v>742.2</v>
      </c>
    </row>
    <row r="40" spans="1:10" x14ac:dyDescent="0.3">
      <c r="A40">
        <v>1039</v>
      </c>
      <c r="B40" t="s">
        <v>32</v>
      </c>
      <c r="C40" t="s">
        <v>24</v>
      </c>
      <c r="D40" t="s">
        <v>16</v>
      </c>
      <c r="E40" t="s">
        <v>13</v>
      </c>
      <c r="F40">
        <v>5</v>
      </c>
      <c r="G40">
        <v>5853</v>
      </c>
      <c r="H40" s="1">
        <v>44965</v>
      </c>
      <c r="I40">
        <v>29265</v>
      </c>
      <c r="J40">
        <v>1170.6000000000001</v>
      </c>
    </row>
    <row r="41" spans="1:10" x14ac:dyDescent="0.3">
      <c r="A41">
        <v>1040</v>
      </c>
      <c r="B41" t="s">
        <v>14</v>
      </c>
      <c r="C41" t="s">
        <v>24</v>
      </c>
      <c r="D41" t="s">
        <v>12</v>
      </c>
      <c r="E41" t="s">
        <v>28</v>
      </c>
      <c r="F41">
        <v>3</v>
      </c>
      <c r="G41">
        <v>30077</v>
      </c>
      <c r="H41" s="1">
        <v>44966</v>
      </c>
      <c r="I41">
        <v>90231</v>
      </c>
      <c r="J41">
        <v>6015.4000000000015</v>
      </c>
    </row>
    <row r="42" spans="1:10" x14ac:dyDescent="0.3">
      <c r="A42">
        <v>1041</v>
      </c>
      <c r="B42" t="s">
        <v>35</v>
      </c>
      <c r="C42" t="s">
        <v>24</v>
      </c>
      <c r="D42" t="s">
        <v>19</v>
      </c>
      <c r="E42" t="s">
        <v>13</v>
      </c>
      <c r="F42">
        <v>5</v>
      </c>
      <c r="G42">
        <v>24863</v>
      </c>
      <c r="H42" s="1">
        <v>44967</v>
      </c>
      <c r="I42">
        <v>124315</v>
      </c>
      <c r="J42">
        <v>4972.6000000000004</v>
      </c>
    </row>
    <row r="43" spans="1:10" x14ac:dyDescent="0.3">
      <c r="A43">
        <v>1042</v>
      </c>
      <c r="B43" t="s">
        <v>32</v>
      </c>
      <c r="C43" t="s">
        <v>11</v>
      </c>
      <c r="D43" t="s">
        <v>22</v>
      </c>
      <c r="E43" t="s">
        <v>13</v>
      </c>
      <c r="F43">
        <v>5</v>
      </c>
      <c r="G43">
        <v>22792</v>
      </c>
      <c r="H43" s="1">
        <v>44968</v>
      </c>
      <c r="I43">
        <v>113960</v>
      </c>
      <c r="J43">
        <v>4558.4000000000015</v>
      </c>
    </row>
    <row r="44" spans="1:10" x14ac:dyDescent="0.3">
      <c r="A44">
        <v>1043</v>
      </c>
      <c r="B44" t="s">
        <v>25</v>
      </c>
      <c r="C44" t="s">
        <v>15</v>
      </c>
      <c r="D44" t="s">
        <v>22</v>
      </c>
      <c r="E44" t="s">
        <v>13</v>
      </c>
      <c r="F44">
        <v>5</v>
      </c>
      <c r="G44">
        <v>41483</v>
      </c>
      <c r="H44" s="1">
        <v>44969</v>
      </c>
      <c r="I44">
        <v>207415</v>
      </c>
      <c r="J44">
        <v>8296.6</v>
      </c>
    </row>
    <row r="45" spans="1:10" x14ac:dyDescent="0.3">
      <c r="A45">
        <v>1044</v>
      </c>
      <c r="B45" t="s">
        <v>35</v>
      </c>
      <c r="C45" t="s">
        <v>11</v>
      </c>
      <c r="D45" t="s">
        <v>12</v>
      </c>
      <c r="E45" t="s">
        <v>28</v>
      </c>
      <c r="F45">
        <v>3</v>
      </c>
      <c r="G45">
        <v>9942</v>
      </c>
      <c r="H45" s="1">
        <v>44970</v>
      </c>
      <c r="I45">
        <v>29826</v>
      </c>
      <c r="J45">
        <v>1988.4</v>
      </c>
    </row>
    <row r="46" spans="1:10" x14ac:dyDescent="0.3">
      <c r="A46">
        <v>1045</v>
      </c>
      <c r="B46" t="s">
        <v>25</v>
      </c>
      <c r="C46" t="s">
        <v>11</v>
      </c>
      <c r="D46" t="s">
        <v>19</v>
      </c>
      <c r="E46" t="s">
        <v>20</v>
      </c>
      <c r="F46">
        <v>4</v>
      </c>
      <c r="G46">
        <v>49275</v>
      </c>
      <c r="H46" s="1">
        <v>44971</v>
      </c>
      <c r="I46">
        <v>197100</v>
      </c>
      <c r="J46">
        <v>9855</v>
      </c>
    </row>
    <row r="47" spans="1:10" x14ac:dyDescent="0.3">
      <c r="A47">
        <v>1046</v>
      </c>
      <c r="B47" t="s">
        <v>21</v>
      </c>
      <c r="C47" t="s">
        <v>27</v>
      </c>
      <c r="D47" t="s">
        <v>22</v>
      </c>
      <c r="E47" t="s">
        <v>29</v>
      </c>
      <c r="F47">
        <v>9</v>
      </c>
      <c r="G47">
        <v>49594</v>
      </c>
      <c r="H47" s="1">
        <v>44972</v>
      </c>
      <c r="I47">
        <v>446346</v>
      </c>
      <c r="J47">
        <v>9918.8000000000011</v>
      </c>
    </row>
    <row r="48" spans="1:10" x14ac:dyDescent="0.3">
      <c r="A48">
        <v>1047</v>
      </c>
      <c r="B48" t="s">
        <v>32</v>
      </c>
      <c r="C48" t="s">
        <v>24</v>
      </c>
      <c r="D48" t="s">
        <v>19</v>
      </c>
      <c r="E48" t="s">
        <v>29</v>
      </c>
      <c r="F48">
        <v>9</v>
      </c>
      <c r="G48">
        <v>2762</v>
      </c>
      <c r="H48" s="1">
        <v>44973</v>
      </c>
      <c r="I48">
        <v>24858</v>
      </c>
      <c r="J48">
        <v>552.4</v>
      </c>
    </row>
    <row r="49" spans="1:10" x14ac:dyDescent="0.3">
      <c r="A49">
        <v>1048</v>
      </c>
      <c r="B49" t="s">
        <v>14</v>
      </c>
      <c r="C49" t="s">
        <v>15</v>
      </c>
      <c r="D49" t="s">
        <v>12</v>
      </c>
      <c r="E49" t="s">
        <v>20</v>
      </c>
      <c r="F49">
        <v>2</v>
      </c>
      <c r="G49">
        <v>32987</v>
      </c>
      <c r="H49" s="1">
        <v>44974</v>
      </c>
      <c r="I49">
        <v>65974</v>
      </c>
      <c r="J49">
        <v>6597.4000000000015</v>
      </c>
    </row>
    <row r="50" spans="1:10" x14ac:dyDescent="0.3">
      <c r="A50">
        <v>1049</v>
      </c>
      <c r="B50" t="s">
        <v>10</v>
      </c>
      <c r="C50" t="s">
        <v>27</v>
      </c>
      <c r="D50" t="s">
        <v>22</v>
      </c>
      <c r="E50" t="s">
        <v>13</v>
      </c>
      <c r="F50">
        <v>8</v>
      </c>
      <c r="G50">
        <v>16850</v>
      </c>
      <c r="H50" s="1">
        <v>44975</v>
      </c>
      <c r="I50">
        <v>134800</v>
      </c>
      <c r="J50">
        <v>3370</v>
      </c>
    </row>
    <row r="51" spans="1:10" x14ac:dyDescent="0.3">
      <c r="A51">
        <v>1050</v>
      </c>
      <c r="B51" t="s">
        <v>18</v>
      </c>
      <c r="C51" t="s">
        <v>11</v>
      </c>
      <c r="D51" t="s">
        <v>19</v>
      </c>
      <c r="E51" t="s">
        <v>17</v>
      </c>
      <c r="F51">
        <v>8</v>
      </c>
      <c r="G51">
        <v>13112</v>
      </c>
      <c r="H51" s="1">
        <v>44976</v>
      </c>
      <c r="I51">
        <v>104896</v>
      </c>
      <c r="J51">
        <v>2622.4</v>
      </c>
    </row>
    <row r="52" spans="1:10" x14ac:dyDescent="0.3">
      <c r="A52">
        <v>1051</v>
      </c>
      <c r="B52" t="s">
        <v>26</v>
      </c>
      <c r="C52" t="s">
        <v>24</v>
      </c>
      <c r="D52" t="s">
        <v>22</v>
      </c>
      <c r="E52" t="s">
        <v>31</v>
      </c>
      <c r="F52">
        <v>7</v>
      </c>
      <c r="G52">
        <v>25058</v>
      </c>
      <c r="H52" s="1">
        <v>44977</v>
      </c>
      <c r="I52">
        <v>175406</v>
      </c>
      <c r="J52">
        <v>5011.6000000000004</v>
      </c>
    </row>
    <row r="53" spans="1:10" x14ac:dyDescent="0.3">
      <c r="A53">
        <v>1052</v>
      </c>
      <c r="B53" t="s">
        <v>34</v>
      </c>
      <c r="C53" t="s">
        <v>27</v>
      </c>
      <c r="D53" t="s">
        <v>12</v>
      </c>
      <c r="E53" t="s">
        <v>28</v>
      </c>
      <c r="F53">
        <v>8</v>
      </c>
      <c r="G53">
        <v>46420</v>
      </c>
      <c r="H53" s="1">
        <v>44978</v>
      </c>
      <c r="I53">
        <v>371360</v>
      </c>
      <c r="J53">
        <v>9284</v>
      </c>
    </row>
    <row r="54" spans="1:10" x14ac:dyDescent="0.3">
      <c r="A54">
        <v>1053</v>
      </c>
      <c r="B54" t="s">
        <v>14</v>
      </c>
      <c r="C54" t="s">
        <v>24</v>
      </c>
      <c r="D54" t="s">
        <v>19</v>
      </c>
      <c r="E54" t="s">
        <v>31</v>
      </c>
      <c r="F54">
        <v>3</v>
      </c>
      <c r="G54">
        <v>39890</v>
      </c>
      <c r="H54" s="1">
        <v>44979</v>
      </c>
      <c r="I54">
        <v>119670</v>
      </c>
      <c r="J54">
        <v>7978</v>
      </c>
    </row>
    <row r="55" spans="1:10" x14ac:dyDescent="0.3">
      <c r="A55">
        <v>1054</v>
      </c>
      <c r="B55" t="s">
        <v>32</v>
      </c>
      <c r="C55" t="s">
        <v>27</v>
      </c>
      <c r="D55" t="s">
        <v>22</v>
      </c>
      <c r="E55" t="s">
        <v>23</v>
      </c>
      <c r="F55">
        <v>6</v>
      </c>
      <c r="G55">
        <v>1481</v>
      </c>
      <c r="H55" s="1">
        <v>44980</v>
      </c>
      <c r="I55">
        <v>8886</v>
      </c>
      <c r="J55">
        <v>296.2</v>
      </c>
    </row>
    <row r="56" spans="1:10" x14ac:dyDescent="0.3">
      <c r="A56">
        <v>1055</v>
      </c>
      <c r="B56" t="s">
        <v>18</v>
      </c>
      <c r="C56" t="s">
        <v>24</v>
      </c>
      <c r="D56" t="s">
        <v>12</v>
      </c>
      <c r="E56" t="s">
        <v>20</v>
      </c>
      <c r="F56">
        <v>1</v>
      </c>
      <c r="G56">
        <v>48304</v>
      </c>
      <c r="H56" s="1">
        <v>44981</v>
      </c>
      <c r="I56">
        <v>48304</v>
      </c>
      <c r="J56">
        <v>9660.8000000000011</v>
      </c>
    </row>
    <row r="57" spans="1:10" x14ac:dyDescent="0.3">
      <c r="A57">
        <v>1056</v>
      </c>
      <c r="B57" t="s">
        <v>14</v>
      </c>
      <c r="C57" t="s">
        <v>11</v>
      </c>
      <c r="D57" t="s">
        <v>22</v>
      </c>
      <c r="E57" t="s">
        <v>17</v>
      </c>
      <c r="F57">
        <v>7</v>
      </c>
      <c r="G57">
        <v>33921</v>
      </c>
      <c r="H57" s="1">
        <v>44982</v>
      </c>
      <c r="I57">
        <v>237447</v>
      </c>
      <c r="J57">
        <v>6784.2000000000007</v>
      </c>
    </row>
    <row r="58" spans="1:10" x14ac:dyDescent="0.3">
      <c r="A58">
        <v>1057</v>
      </c>
      <c r="B58" t="s">
        <v>32</v>
      </c>
      <c r="C58" t="s">
        <v>15</v>
      </c>
      <c r="D58" t="s">
        <v>22</v>
      </c>
      <c r="E58" t="s">
        <v>28</v>
      </c>
      <c r="F58">
        <v>1</v>
      </c>
      <c r="G58">
        <v>41385</v>
      </c>
      <c r="H58" s="1">
        <v>44983</v>
      </c>
      <c r="I58">
        <v>41385</v>
      </c>
      <c r="J58">
        <v>8277</v>
      </c>
    </row>
    <row r="59" spans="1:10" x14ac:dyDescent="0.3">
      <c r="A59">
        <v>1058</v>
      </c>
      <c r="B59" t="s">
        <v>30</v>
      </c>
      <c r="C59" t="s">
        <v>11</v>
      </c>
      <c r="D59" t="s">
        <v>16</v>
      </c>
      <c r="E59" t="s">
        <v>20</v>
      </c>
      <c r="F59">
        <v>9</v>
      </c>
      <c r="G59">
        <v>2524</v>
      </c>
      <c r="H59" s="1">
        <v>44984</v>
      </c>
      <c r="I59">
        <v>22716</v>
      </c>
      <c r="J59">
        <v>504.8</v>
      </c>
    </row>
    <row r="60" spans="1:10" x14ac:dyDescent="0.3">
      <c r="A60">
        <v>1059</v>
      </c>
      <c r="B60" t="s">
        <v>30</v>
      </c>
      <c r="C60" t="s">
        <v>15</v>
      </c>
      <c r="D60" t="s">
        <v>16</v>
      </c>
      <c r="E60" t="s">
        <v>13</v>
      </c>
      <c r="F60">
        <v>1</v>
      </c>
      <c r="G60">
        <v>35888</v>
      </c>
      <c r="H60" s="1">
        <v>44985</v>
      </c>
      <c r="I60">
        <v>35888</v>
      </c>
      <c r="J60">
        <v>7177.6</v>
      </c>
    </row>
    <row r="61" spans="1:10" x14ac:dyDescent="0.3">
      <c r="A61">
        <v>1060</v>
      </c>
      <c r="B61" t="s">
        <v>25</v>
      </c>
      <c r="C61" t="s">
        <v>24</v>
      </c>
      <c r="D61" t="s">
        <v>12</v>
      </c>
      <c r="E61" t="s">
        <v>29</v>
      </c>
      <c r="F61">
        <v>1</v>
      </c>
      <c r="G61">
        <v>16048</v>
      </c>
      <c r="H61" s="1">
        <v>44986</v>
      </c>
      <c r="I61">
        <v>16048</v>
      </c>
      <c r="J61">
        <v>3209.6000000000004</v>
      </c>
    </row>
    <row r="62" spans="1:10" x14ac:dyDescent="0.3">
      <c r="A62">
        <v>1061</v>
      </c>
      <c r="B62" t="s">
        <v>14</v>
      </c>
      <c r="C62" t="s">
        <v>27</v>
      </c>
      <c r="D62" t="s">
        <v>16</v>
      </c>
      <c r="E62" t="s">
        <v>31</v>
      </c>
      <c r="F62">
        <v>7</v>
      </c>
      <c r="G62">
        <v>36111</v>
      </c>
      <c r="H62" s="1">
        <v>44987</v>
      </c>
      <c r="I62">
        <v>252777</v>
      </c>
      <c r="J62">
        <v>7222.2000000000007</v>
      </c>
    </row>
    <row r="63" spans="1:10" x14ac:dyDescent="0.3">
      <c r="A63">
        <v>1062</v>
      </c>
      <c r="B63" t="s">
        <v>30</v>
      </c>
      <c r="C63" t="s">
        <v>11</v>
      </c>
      <c r="D63" t="s">
        <v>12</v>
      </c>
      <c r="E63" t="s">
        <v>33</v>
      </c>
      <c r="F63">
        <v>2</v>
      </c>
      <c r="G63">
        <v>38904</v>
      </c>
      <c r="H63" s="1">
        <v>44988</v>
      </c>
      <c r="I63">
        <v>77808</v>
      </c>
      <c r="J63">
        <v>7780.8</v>
      </c>
    </row>
    <row r="64" spans="1:10" x14ac:dyDescent="0.3">
      <c r="A64">
        <v>1063</v>
      </c>
      <c r="B64" t="s">
        <v>32</v>
      </c>
      <c r="C64" t="s">
        <v>15</v>
      </c>
      <c r="D64" t="s">
        <v>16</v>
      </c>
      <c r="E64" t="s">
        <v>33</v>
      </c>
      <c r="F64">
        <v>5</v>
      </c>
      <c r="G64">
        <v>35008</v>
      </c>
      <c r="H64" s="1">
        <v>44989</v>
      </c>
      <c r="I64">
        <v>175040</v>
      </c>
      <c r="J64">
        <v>7001.6</v>
      </c>
    </row>
    <row r="65" spans="1:10" x14ac:dyDescent="0.3">
      <c r="A65">
        <v>1064</v>
      </c>
      <c r="B65" t="s">
        <v>25</v>
      </c>
      <c r="C65" t="s">
        <v>11</v>
      </c>
      <c r="D65" t="s">
        <v>22</v>
      </c>
      <c r="E65" t="s">
        <v>17</v>
      </c>
      <c r="F65">
        <v>8</v>
      </c>
      <c r="G65">
        <v>1060</v>
      </c>
      <c r="H65" s="1">
        <v>44990</v>
      </c>
      <c r="I65">
        <v>8480</v>
      </c>
      <c r="J65">
        <v>212</v>
      </c>
    </row>
    <row r="66" spans="1:10" x14ac:dyDescent="0.3">
      <c r="A66">
        <v>1065</v>
      </c>
      <c r="B66" t="s">
        <v>32</v>
      </c>
      <c r="C66" t="s">
        <v>15</v>
      </c>
      <c r="D66" t="s">
        <v>12</v>
      </c>
      <c r="E66" t="s">
        <v>13</v>
      </c>
      <c r="F66">
        <v>8</v>
      </c>
      <c r="G66">
        <v>10130</v>
      </c>
      <c r="H66" s="1">
        <v>44991</v>
      </c>
      <c r="I66">
        <v>81040</v>
      </c>
      <c r="J66">
        <v>2026</v>
      </c>
    </row>
    <row r="67" spans="1:10" x14ac:dyDescent="0.3">
      <c r="A67">
        <v>1066</v>
      </c>
      <c r="B67" t="s">
        <v>25</v>
      </c>
      <c r="C67" t="s">
        <v>11</v>
      </c>
      <c r="D67" t="s">
        <v>12</v>
      </c>
      <c r="E67" t="s">
        <v>23</v>
      </c>
      <c r="F67">
        <v>3</v>
      </c>
      <c r="G67">
        <v>19023</v>
      </c>
      <c r="H67" s="1">
        <v>44992</v>
      </c>
      <c r="I67">
        <v>57069</v>
      </c>
      <c r="J67">
        <v>3804.6000000000004</v>
      </c>
    </row>
    <row r="68" spans="1:10" x14ac:dyDescent="0.3">
      <c r="A68">
        <v>1067</v>
      </c>
      <c r="B68" t="s">
        <v>14</v>
      </c>
      <c r="C68" t="s">
        <v>15</v>
      </c>
      <c r="D68" t="s">
        <v>22</v>
      </c>
      <c r="E68" t="s">
        <v>31</v>
      </c>
      <c r="F68">
        <v>7</v>
      </c>
      <c r="G68">
        <v>46080</v>
      </c>
      <c r="H68" s="1">
        <v>44993</v>
      </c>
      <c r="I68">
        <v>322560</v>
      </c>
      <c r="J68">
        <v>9216</v>
      </c>
    </row>
    <row r="69" spans="1:10" x14ac:dyDescent="0.3">
      <c r="A69">
        <v>1068</v>
      </c>
      <c r="B69" t="s">
        <v>18</v>
      </c>
      <c r="C69" t="s">
        <v>15</v>
      </c>
      <c r="D69" t="s">
        <v>12</v>
      </c>
      <c r="E69" t="s">
        <v>13</v>
      </c>
      <c r="F69">
        <v>3</v>
      </c>
      <c r="G69">
        <v>14350</v>
      </c>
      <c r="H69" s="1">
        <v>44994</v>
      </c>
      <c r="I69">
        <v>43050</v>
      </c>
      <c r="J69">
        <v>2870</v>
      </c>
    </row>
    <row r="70" spans="1:10" x14ac:dyDescent="0.3">
      <c r="A70">
        <v>1069</v>
      </c>
      <c r="B70" t="s">
        <v>10</v>
      </c>
      <c r="C70" t="s">
        <v>24</v>
      </c>
      <c r="D70" t="s">
        <v>12</v>
      </c>
      <c r="E70" t="s">
        <v>31</v>
      </c>
      <c r="F70">
        <v>6</v>
      </c>
      <c r="G70">
        <v>25354</v>
      </c>
      <c r="H70" s="1">
        <v>44995</v>
      </c>
      <c r="I70">
        <v>152124</v>
      </c>
      <c r="J70">
        <v>5070.8</v>
      </c>
    </row>
    <row r="71" spans="1:10" x14ac:dyDescent="0.3">
      <c r="A71">
        <v>1070</v>
      </c>
      <c r="B71" t="s">
        <v>35</v>
      </c>
      <c r="C71" t="s">
        <v>15</v>
      </c>
      <c r="D71" t="s">
        <v>16</v>
      </c>
      <c r="E71" t="s">
        <v>17</v>
      </c>
      <c r="F71">
        <v>6</v>
      </c>
      <c r="G71">
        <v>46186</v>
      </c>
      <c r="H71" s="1">
        <v>44996</v>
      </c>
      <c r="I71">
        <v>277116</v>
      </c>
      <c r="J71">
        <v>9237.2000000000007</v>
      </c>
    </row>
    <row r="72" spans="1:10" x14ac:dyDescent="0.3">
      <c r="A72">
        <v>1071</v>
      </c>
      <c r="B72" t="s">
        <v>18</v>
      </c>
      <c r="C72" t="s">
        <v>24</v>
      </c>
      <c r="D72" t="s">
        <v>12</v>
      </c>
      <c r="E72" t="s">
        <v>17</v>
      </c>
      <c r="F72">
        <v>3</v>
      </c>
      <c r="G72">
        <v>29145</v>
      </c>
      <c r="H72" s="1">
        <v>44997</v>
      </c>
      <c r="I72">
        <v>87435</v>
      </c>
      <c r="J72">
        <v>5829</v>
      </c>
    </row>
    <row r="73" spans="1:10" x14ac:dyDescent="0.3">
      <c r="A73">
        <v>1072</v>
      </c>
      <c r="B73" t="s">
        <v>21</v>
      </c>
      <c r="C73" t="s">
        <v>15</v>
      </c>
      <c r="D73" t="s">
        <v>19</v>
      </c>
      <c r="E73" t="s">
        <v>23</v>
      </c>
      <c r="F73">
        <v>7</v>
      </c>
      <c r="G73">
        <v>35020</v>
      </c>
      <c r="H73" s="1">
        <v>44998</v>
      </c>
      <c r="I73">
        <v>245140</v>
      </c>
      <c r="J73">
        <v>7004</v>
      </c>
    </row>
    <row r="74" spans="1:10" x14ac:dyDescent="0.3">
      <c r="A74">
        <v>1073</v>
      </c>
      <c r="B74" t="s">
        <v>32</v>
      </c>
      <c r="C74" t="s">
        <v>27</v>
      </c>
      <c r="D74" t="s">
        <v>22</v>
      </c>
      <c r="E74" t="s">
        <v>33</v>
      </c>
      <c r="F74">
        <v>3</v>
      </c>
      <c r="G74">
        <v>21587</v>
      </c>
      <c r="H74" s="1">
        <v>44999</v>
      </c>
      <c r="I74">
        <v>64761</v>
      </c>
      <c r="J74">
        <v>4317.4000000000015</v>
      </c>
    </row>
    <row r="75" spans="1:10" x14ac:dyDescent="0.3">
      <c r="A75">
        <v>1074</v>
      </c>
      <c r="B75" t="s">
        <v>21</v>
      </c>
      <c r="C75" t="s">
        <v>27</v>
      </c>
      <c r="D75" t="s">
        <v>16</v>
      </c>
      <c r="E75" t="s">
        <v>13</v>
      </c>
      <c r="F75">
        <v>8</v>
      </c>
      <c r="G75">
        <v>42131</v>
      </c>
      <c r="H75" s="1">
        <v>45000</v>
      </c>
      <c r="I75">
        <v>337048</v>
      </c>
      <c r="J75">
        <v>8426.2000000000007</v>
      </c>
    </row>
    <row r="76" spans="1:10" x14ac:dyDescent="0.3">
      <c r="A76">
        <v>1075</v>
      </c>
      <c r="B76" t="s">
        <v>18</v>
      </c>
      <c r="C76" t="s">
        <v>27</v>
      </c>
      <c r="D76" t="s">
        <v>16</v>
      </c>
      <c r="E76" t="s">
        <v>28</v>
      </c>
      <c r="F76">
        <v>4</v>
      </c>
      <c r="G76">
        <v>10650</v>
      </c>
      <c r="H76" s="1">
        <v>45001</v>
      </c>
      <c r="I76">
        <v>42600</v>
      </c>
      <c r="J76">
        <v>2130</v>
      </c>
    </row>
    <row r="77" spans="1:10" x14ac:dyDescent="0.3">
      <c r="A77">
        <v>1076</v>
      </c>
      <c r="B77" t="s">
        <v>25</v>
      </c>
      <c r="C77" t="s">
        <v>15</v>
      </c>
      <c r="D77" t="s">
        <v>19</v>
      </c>
      <c r="E77" t="s">
        <v>33</v>
      </c>
      <c r="F77">
        <v>1</v>
      </c>
      <c r="G77">
        <v>20933</v>
      </c>
      <c r="H77" s="1">
        <v>45002</v>
      </c>
      <c r="I77">
        <v>20933</v>
      </c>
      <c r="J77">
        <v>4186.6000000000004</v>
      </c>
    </row>
    <row r="78" spans="1:10" x14ac:dyDescent="0.3">
      <c r="A78">
        <v>1077</v>
      </c>
      <c r="B78" t="s">
        <v>35</v>
      </c>
      <c r="C78" t="s">
        <v>24</v>
      </c>
      <c r="D78" t="s">
        <v>22</v>
      </c>
      <c r="E78" t="s">
        <v>13</v>
      </c>
      <c r="F78">
        <v>4</v>
      </c>
      <c r="G78">
        <v>21581</v>
      </c>
      <c r="H78" s="1">
        <v>45003</v>
      </c>
      <c r="I78">
        <v>86324</v>
      </c>
      <c r="J78">
        <v>4316.2</v>
      </c>
    </row>
    <row r="79" spans="1:10" x14ac:dyDescent="0.3">
      <c r="A79">
        <v>1078</v>
      </c>
      <c r="B79" t="s">
        <v>35</v>
      </c>
      <c r="C79" t="s">
        <v>24</v>
      </c>
      <c r="D79" t="s">
        <v>22</v>
      </c>
      <c r="E79" t="s">
        <v>33</v>
      </c>
      <c r="F79">
        <v>7</v>
      </c>
      <c r="G79">
        <v>24393</v>
      </c>
      <c r="H79" s="1">
        <v>45004</v>
      </c>
      <c r="I79">
        <v>170751</v>
      </c>
      <c r="J79">
        <v>4878.6000000000004</v>
      </c>
    </row>
    <row r="80" spans="1:10" x14ac:dyDescent="0.3">
      <c r="A80">
        <v>1079</v>
      </c>
      <c r="B80" t="s">
        <v>34</v>
      </c>
      <c r="C80" t="s">
        <v>15</v>
      </c>
      <c r="D80" t="s">
        <v>16</v>
      </c>
      <c r="E80" t="s">
        <v>28</v>
      </c>
      <c r="F80">
        <v>4</v>
      </c>
      <c r="G80">
        <v>24051</v>
      </c>
      <c r="H80" s="1">
        <v>45005</v>
      </c>
      <c r="I80">
        <v>96204</v>
      </c>
      <c r="J80">
        <v>4810.2</v>
      </c>
    </row>
    <row r="81" spans="1:10" x14ac:dyDescent="0.3">
      <c r="A81">
        <v>1080</v>
      </c>
      <c r="B81" t="s">
        <v>35</v>
      </c>
      <c r="C81" t="s">
        <v>27</v>
      </c>
      <c r="D81" t="s">
        <v>12</v>
      </c>
      <c r="E81" t="s">
        <v>29</v>
      </c>
      <c r="F81">
        <v>6</v>
      </c>
      <c r="G81">
        <v>27212</v>
      </c>
      <c r="H81" s="1">
        <v>45006</v>
      </c>
      <c r="I81">
        <v>163272</v>
      </c>
      <c r="J81">
        <v>5442.4000000000015</v>
      </c>
    </row>
    <row r="82" spans="1:10" x14ac:dyDescent="0.3">
      <c r="A82">
        <v>1081</v>
      </c>
      <c r="B82" t="s">
        <v>10</v>
      </c>
      <c r="C82" t="s">
        <v>27</v>
      </c>
      <c r="D82" t="s">
        <v>16</v>
      </c>
      <c r="E82" t="s">
        <v>29</v>
      </c>
      <c r="F82">
        <v>9</v>
      </c>
      <c r="G82">
        <v>5090</v>
      </c>
      <c r="H82" s="1">
        <v>45007</v>
      </c>
      <c r="I82">
        <v>45810</v>
      </c>
      <c r="J82">
        <v>1018</v>
      </c>
    </row>
    <row r="83" spans="1:10" x14ac:dyDescent="0.3">
      <c r="A83">
        <v>1082</v>
      </c>
      <c r="B83" t="s">
        <v>35</v>
      </c>
      <c r="C83" t="s">
        <v>24</v>
      </c>
      <c r="D83" t="s">
        <v>22</v>
      </c>
      <c r="E83" t="s">
        <v>23</v>
      </c>
      <c r="F83">
        <v>1</v>
      </c>
      <c r="G83">
        <v>7960</v>
      </c>
      <c r="H83" s="1">
        <v>45008</v>
      </c>
      <c r="I83">
        <v>7960</v>
      </c>
      <c r="J83">
        <v>1592</v>
      </c>
    </row>
    <row r="84" spans="1:10" x14ac:dyDescent="0.3">
      <c r="A84">
        <v>1083</v>
      </c>
      <c r="B84" t="s">
        <v>18</v>
      </c>
      <c r="C84" t="s">
        <v>27</v>
      </c>
      <c r="D84" t="s">
        <v>19</v>
      </c>
      <c r="E84" t="s">
        <v>29</v>
      </c>
      <c r="F84">
        <v>5</v>
      </c>
      <c r="G84">
        <v>36772</v>
      </c>
      <c r="H84" s="1">
        <v>45009</v>
      </c>
      <c r="I84">
        <v>183860</v>
      </c>
      <c r="J84">
        <v>7354.4000000000015</v>
      </c>
    </row>
    <row r="85" spans="1:10" x14ac:dyDescent="0.3">
      <c r="A85">
        <v>1084</v>
      </c>
      <c r="B85" t="s">
        <v>34</v>
      </c>
      <c r="C85" t="s">
        <v>11</v>
      </c>
      <c r="D85" t="s">
        <v>16</v>
      </c>
      <c r="E85" t="s">
        <v>29</v>
      </c>
      <c r="F85">
        <v>7</v>
      </c>
      <c r="G85">
        <v>22520</v>
      </c>
      <c r="H85" s="1">
        <v>45010</v>
      </c>
      <c r="I85">
        <v>157640</v>
      </c>
      <c r="J85">
        <v>4504</v>
      </c>
    </row>
    <row r="86" spans="1:10" x14ac:dyDescent="0.3">
      <c r="A86">
        <v>1085</v>
      </c>
      <c r="B86" t="s">
        <v>18</v>
      </c>
      <c r="C86" t="s">
        <v>24</v>
      </c>
      <c r="D86" t="s">
        <v>22</v>
      </c>
      <c r="E86" t="s">
        <v>20</v>
      </c>
      <c r="F86">
        <v>1</v>
      </c>
      <c r="G86">
        <v>37408</v>
      </c>
      <c r="H86" s="1">
        <v>45011</v>
      </c>
      <c r="I86">
        <v>37408</v>
      </c>
      <c r="J86">
        <v>7481.6</v>
      </c>
    </row>
    <row r="87" spans="1:10" x14ac:dyDescent="0.3">
      <c r="A87">
        <v>1086</v>
      </c>
      <c r="B87" t="s">
        <v>18</v>
      </c>
      <c r="C87" t="s">
        <v>27</v>
      </c>
      <c r="D87" t="s">
        <v>16</v>
      </c>
      <c r="E87" t="s">
        <v>31</v>
      </c>
      <c r="F87">
        <v>4</v>
      </c>
      <c r="G87">
        <v>29470</v>
      </c>
      <c r="H87" s="1">
        <v>45012</v>
      </c>
      <c r="I87">
        <v>117880</v>
      </c>
      <c r="J87">
        <v>5894</v>
      </c>
    </row>
    <row r="88" spans="1:10" x14ac:dyDescent="0.3">
      <c r="A88">
        <v>1087</v>
      </c>
      <c r="B88" t="s">
        <v>26</v>
      </c>
      <c r="C88" t="s">
        <v>24</v>
      </c>
      <c r="D88" t="s">
        <v>12</v>
      </c>
      <c r="E88" t="s">
        <v>20</v>
      </c>
      <c r="F88">
        <v>6</v>
      </c>
      <c r="G88">
        <v>21491</v>
      </c>
      <c r="H88" s="1">
        <v>45013</v>
      </c>
      <c r="I88">
        <v>128946</v>
      </c>
      <c r="J88">
        <v>4298.2</v>
      </c>
    </row>
    <row r="89" spans="1:10" x14ac:dyDescent="0.3">
      <c r="A89">
        <v>1088</v>
      </c>
      <c r="B89" t="s">
        <v>34</v>
      </c>
      <c r="C89" t="s">
        <v>11</v>
      </c>
      <c r="D89" t="s">
        <v>16</v>
      </c>
      <c r="E89" t="s">
        <v>20</v>
      </c>
      <c r="F89">
        <v>2</v>
      </c>
      <c r="G89">
        <v>2341</v>
      </c>
      <c r="H89" s="1">
        <v>45014</v>
      </c>
      <c r="I89">
        <v>4682</v>
      </c>
      <c r="J89">
        <v>468.20000000000005</v>
      </c>
    </row>
    <row r="90" spans="1:10" x14ac:dyDescent="0.3">
      <c r="A90">
        <v>1089</v>
      </c>
      <c r="B90" t="s">
        <v>18</v>
      </c>
      <c r="C90" t="s">
        <v>24</v>
      </c>
      <c r="D90" t="s">
        <v>16</v>
      </c>
      <c r="E90" t="s">
        <v>23</v>
      </c>
      <c r="F90">
        <v>5</v>
      </c>
      <c r="G90">
        <v>45623</v>
      </c>
      <c r="H90" s="1">
        <v>45015</v>
      </c>
      <c r="I90">
        <v>228115</v>
      </c>
      <c r="J90">
        <v>9124.6</v>
      </c>
    </row>
    <row r="91" spans="1:10" x14ac:dyDescent="0.3">
      <c r="A91">
        <v>1090</v>
      </c>
      <c r="B91" t="s">
        <v>26</v>
      </c>
      <c r="C91" t="s">
        <v>24</v>
      </c>
      <c r="D91" t="s">
        <v>22</v>
      </c>
      <c r="E91" t="s">
        <v>20</v>
      </c>
      <c r="F91">
        <v>1</v>
      </c>
      <c r="G91">
        <v>25791</v>
      </c>
      <c r="H91" s="1">
        <v>45016</v>
      </c>
      <c r="I91">
        <v>25791</v>
      </c>
      <c r="J91">
        <v>5158.2000000000007</v>
      </c>
    </row>
    <row r="92" spans="1:10" x14ac:dyDescent="0.3">
      <c r="A92">
        <v>1091</v>
      </c>
      <c r="B92" t="s">
        <v>26</v>
      </c>
      <c r="C92" t="s">
        <v>24</v>
      </c>
      <c r="D92" t="s">
        <v>22</v>
      </c>
      <c r="E92" t="s">
        <v>29</v>
      </c>
      <c r="F92">
        <v>6</v>
      </c>
      <c r="G92">
        <v>1338</v>
      </c>
      <c r="H92" s="1">
        <v>45017</v>
      </c>
      <c r="I92">
        <v>8028</v>
      </c>
      <c r="J92">
        <v>267.60000000000002</v>
      </c>
    </row>
    <row r="93" spans="1:10" x14ac:dyDescent="0.3">
      <c r="A93">
        <v>1092</v>
      </c>
      <c r="B93" t="s">
        <v>34</v>
      </c>
      <c r="C93" t="s">
        <v>24</v>
      </c>
      <c r="D93" t="s">
        <v>22</v>
      </c>
      <c r="E93" t="s">
        <v>28</v>
      </c>
      <c r="F93">
        <v>6</v>
      </c>
      <c r="G93">
        <v>6895</v>
      </c>
      <c r="H93" s="1">
        <v>45018</v>
      </c>
      <c r="I93">
        <v>41370</v>
      </c>
      <c r="J93">
        <v>1379</v>
      </c>
    </row>
    <row r="94" spans="1:10" x14ac:dyDescent="0.3">
      <c r="A94">
        <v>1093</v>
      </c>
      <c r="B94" t="s">
        <v>21</v>
      </c>
      <c r="C94" t="s">
        <v>11</v>
      </c>
      <c r="D94" t="s">
        <v>16</v>
      </c>
      <c r="E94" t="s">
        <v>23</v>
      </c>
      <c r="F94">
        <v>4</v>
      </c>
      <c r="G94">
        <v>13254</v>
      </c>
      <c r="H94" s="1">
        <v>45019</v>
      </c>
      <c r="I94">
        <v>53016</v>
      </c>
      <c r="J94">
        <v>2650.8</v>
      </c>
    </row>
    <row r="95" spans="1:10" x14ac:dyDescent="0.3">
      <c r="A95">
        <v>1094</v>
      </c>
      <c r="B95" t="s">
        <v>25</v>
      </c>
      <c r="C95" t="s">
        <v>15</v>
      </c>
      <c r="D95" t="s">
        <v>12</v>
      </c>
      <c r="E95" t="s">
        <v>23</v>
      </c>
      <c r="F95">
        <v>8</v>
      </c>
      <c r="G95">
        <v>12344</v>
      </c>
      <c r="H95" s="1">
        <v>45020</v>
      </c>
      <c r="I95">
        <v>98752</v>
      </c>
      <c r="J95">
        <v>2468.8000000000002</v>
      </c>
    </row>
    <row r="96" spans="1:10" x14ac:dyDescent="0.3">
      <c r="A96">
        <v>1095</v>
      </c>
      <c r="B96" t="s">
        <v>10</v>
      </c>
      <c r="C96" t="s">
        <v>24</v>
      </c>
      <c r="D96" t="s">
        <v>19</v>
      </c>
      <c r="E96" t="s">
        <v>17</v>
      </c>
      <c r="F96">
        <v>4</v>
      </c>
      <c r="G96">
        <v>2750</v>
      </c>
      <c r="H96" s="1">
        <v>45021</v>
      </c>
      <c r="I96">
        <v>11000</v>
      </c>
      <c r="J96">
        <v>550</v>
      </c>
    </row>
    <row r="97" spans="1:10" x14ac:dyDescent="0.3">
      <c r="A97">
        <v>1096</v>
      </c>
      <c r="B97" t="s">
        <v>25</v>
      </c>
      <c r="C97" t="s">
        <v>24</v>
      </c>
      <c r="D97" t="s">
        <v>19</v>
      </c>
      <c r="E97" t="s">
        <v>23</v>
      </c>
      <c r="F97">
        <v>8</v>
      </c>
      <c r="G97">
        <v>3421</v>
      </c>
      <c r="H97" s="1">
        <v>45022</v>
      </c>
      <c r="I97">
        <v>27368</v>
      </c>
      <c r="J97">
        <v>684.2</v>
      </c>
    </row>
    <row r="98" spans="1:10" x14ac:dyDescent="0.3">
      <c r="A98">
        <v>1097</v>
      </c>
      <c r="B98" t="s">
        <v>35</v>
      </c>
      <c r="C98" t="s">
        <v>27</v>
      </c>
      <c r="D98" t="s">
        <v>22</v>
      </c>
      <c r="E98" t="s">
        <v>17</v>
      </c>
      <c r="F98">
        <v>8</v>
      </c>
      <c r="G98">
        <v>40887</v>
      </c>
      <c r="H98" s="1">
        <v>45023</v>
      </c>
      <c r="I98">
        <v>327096</v>
      </c>
      <c r="J98">
        <v>8177.4000000000015</v>
      </c>
    </row>
    <row r="99" spans="1:10" x14ac:dyDescent="0.3">
      <c r="A99">
        <v>1098</v>
      </c>
      <c r="B99" t="s">
        <v>10</v>
      </c>
      <c r="C99" t="s">
        <v>24</v>
      </c>
      <c r="D99" t="s">
        <v>22</v>
      </c>
      <c r="E99" t="s">
        <v>23</v>
      </c>
      <c r="F99">
        <v>5</v>
      </c>
      <c r="G99">
        <v>6319</v>
      </c>
      <c r="H99" s="1">
        <v>45024</v>
      </c>
      <c r="I99">
        <v>31595</v>
      </c>
      <c r="J99">
        <v>1263.8000000000002</v>
      </c>
    </row>
    <row r="100" spans="1:10" x14ac:dyDescent="0.3">
      <c r="A100">
        <v>1099</v>
      </c>
      <c r="B100" t="s">
        <v>35</v>
      </c>
      <c r="C100" t="s">
        <v>27</v>
      </c>
      <c r="D100" t="s">
        <v>16</v>
      </c>
      <c r="E100" t="s">
        <v>31</v>
      </c>
      <c r="F100">
        <v>4</v>
      </c>
      <c r="G100">
        <v>16896</v>
      </c>
      <c r="H100" s="1">
        <v>45025</v>
      </c>
      <c r="I100">
        <v>67584</v>
      </c>
      <c r="J100">
        <v>3379.2000000000003</v>
      </c>
    </row>
    <row r="101" spans="1:10" x14ac:dyDescent="0.3">
      <c r="A101">
        <v>1100</v>
      </c>
      <c r="B101" t="s">
        <v>18</v>
      </c>
      <c r="C101" t="s">
        <v>15</v>
      </c>
      <c r="D101" t="s">
        <v>19</v>
      </c>
      <c r="E101" t="s">
        <v>29</v>
      </c>
      <c r="F101">
        <v>2</v>
      </c>
      <c r="G101">
        <v>12918</v>
      </c>
      <c r="H101" s="1">
        <v>45026</v>
      </c>
      <c r="I101">
        <v>25836</v>
      </c>
      <c r="J101">
        <v>2583.6000000000004</v>
      </c>
    </row>
    <row r="102" spans="1:10" x14ac:dyDescent="0.3">
      <c r="A102">
        <v>1101</v>
      </c>
      <c r="B102" t="s">
        <v>32</v>
      </c>
      <c r="C102" t="s">
        <v>11</v>
      </c>
      <c r="D102" t="s">
        <v>22</v>
      </c>
      <c r="E102" t="s">
        <v>23</v>
      </c>
      <c r="F102">
        <v>3</v>
      </c>
      <c r="G102">
        <v>26064</v>
      </c>
      <c r="H102" s="1">
        <v>45027</v>
      </c>
      <c r="I102">
        <v>78192</v>
      </c>
      <c r="J102">
        <v>5212.8</v>
      </c>
    </row>
    <row r="103" spans="1:10" x14ac:dyDescent="0.3">
      <c r="A103">
        <v>1102</v>
      </c>
      <c r="B103" t="s">
        <v>34</v>
      </c>
      <c r="C103" t="s">
        <v>11</v>
      </c>
      <c r="D103" t="s">
        <v>12</v>
      </c>
      <c r="E103" t="s">
        <v>29</v>
      </c>
      <c r="F103">
        <v>3</v>
      </c>
      <c r="G103">
        <v>47617</v>
      </c>
      <c r="H103" s="1">
        <v>45028</v>
      </c>
      <c r="I103">
        <v>142851</v>
      </c>
      <c r="J103">
        <v>9523.4</v>
      </c>
    </row>
    <row r="104" spans="1:10" x14ac:dyDescent="0.3">
      <c r="A104">
        <v>1103</v>
      </c>
      <c r="B104" t="s">
        <v>10</v>
      </c>
      <c r="C104" t="s">
        <v>15</v>
      </c>
      <c r="D104" t="s">
        <v>12</v>
      </c>
      <c r="E104" t="s">
        <v>29</v>
      </c>
      <c r="F104">
        <v>4</v>
      </c>
      <c r="G104">
        <v>28935</v>
      </c>
      <c r="H104" s="1">
        <v>45029</v>
      </c>
      <c r="I104">
        <v>115740</v>
      </c>
      <c r="J104">
        <v>5787</v>
      </c>
    </row>
    <row r="105" spans="1:10" x14ac:dyDescent="0.3">
      <c r="A105">
        <v>1104</v>
      </c>
      <c r="B105" t="s">
        <v>10</v>
      </c>
      <c r="C105" t="s">
        <v>11</v>
      </c>
      <c r="D105" t="s">
        <v>22</v>
      </c>
      <c r="E105" t="s">
        <v>33</v>
      </c>
      <c r="F105">
        <v>4</v>
      </c>
      <c r="G105">
        <v>38641</v>
      </c>
      <c r="H105" s="1">
        <v>45030</v>
      </c>
      <c r="I105">
        <v>154564</v>
      </c>
      <c r="J105">
        <v>7728.2000000000007</v>
      </c>
    </row>
    <row r="106" spans="1:10" x14ac:dyDescent="0.3">
      <c r="A106">
        <v>1105</v>
      </c>
      <c r="B106" t="s">
        <v>18</v>
      </c>
      <c r="C106" t="s">
        <v>15</v>
      </c>
      <c r="D106" t="s">
        <v>22</v>
      </c>
      <c r="E106" t="s">
        <v>23</v>
      </c>
      <c r="F106">
        <v>5</v>
      </c>
      <c r="G106">
        <v>30711</v>
      </c>
      <c r="H106" s="1">
        <v>45031</v>
      </c>
      <c r="I106">
        <v>153555</v>
      </c>
      <c r="J106">
        <v>6142.2000000000007</v>
      </c>
    </row>
    <row r="107" spans="1:10" x14ac:dyDescent="0.3">
      <c r="A107">
        <v>1106</v>
      </c>
      <c r="B107" t="s">
        <v>21</v>
      </c>
      <c r="C107" t="s">
        <v>15</v>
      </c>
      <c r="D107" t="s">
        <v>19</v>
      </c>
      <c r="E107" t="s">
        <v>13</v>
      </c>
      <c r="F107">
        <v>4</v>
      </c>
      <c r="G107">
        <v>5806</v>
      </c>
      <c r="H107" s="1">
        <v>45032</v>
      </c>
      <c r="I107">
        <v>23224</v>
      </c>
      <c r="J107">
        <v>1161.2</v>
      </c>
    </row>
    <row r="108" spans="1:10" x14ac:dyDescent="0.3">
      <c r="A108">
        <v>1107</v>
      </c>
      <c r="B108" t="s">
        <v>26</v>
      </c>
      <c r="C108" t="s">
        <v>15</v>
      </c>
      <c r="D108" t="s">
        <v>19</v>
      </c>
      <c r="E108" t="s">
        <v>33</v>
      </c>
      <c r="F108">
        <v>8</v>
      </c>
      <c r="G108">
        <v>42360</v>
      </c>
      <c r="H108" s="1">
        <v>45033</v>
      </c>
      <c r="I108">
        <v>338880</v>
      </c>
      <c r="J108">
        <v>8472</v>
      </c>
    </row>
    <row r="109" spans="1:10" x14ac:dyDescent="0.3">
      <c r="A109">
        <v>1108</v>
      </c>
      <c r="B109" t="s">
        <v>18</v>
      </c>
      <c r="C109" t="s">
        <v>11</v>
      </c>
      <c r="D109" t="s">
        <v>16</v>
      </c>
      <c r="E109" t="s">
        <v>13</v>
      </c>
      <c r="F109">
        <v>6</v>
      </c>
      <c r="G109">
        <v>13182</v>
      </c>
      <c r="H109" s="1">
        <v>45034</v>
      </c>
      <c r="I109">
        <v>79092</v>
      </c>
      <c r="J109">
        <v>2636.4</v>
      </c>
    </row>
    <row r="110" spans="1:10" x14ac:dyDescent="0.3">
      <c r="A110">
        <v>1109</v>
      </c>
      <c r="B110" t="s">
        <v>30</v>
      </c>
      <c r="C110" t="s">
        <v>27</v>
      </c>
      <c r="D110" t="s">
        <v>19</v>
      </c>
      <c r="E110" t="s">
        <v>29</v>
      </c>
      <c r="F110">
        <v>6</v>
      </c>
      <c r="G110">
        <v>23297</v>
      </c>
      <c r="H110" s="1">
        <v>45035</v>
      </c>
      <c r="I110">
        <v>139782</v>
      </c>
      <c r="J110">
        <v>4659.4000000000015</v>
      </c>
    </row>
    <row r="111" spans="1:10" x14ac:dyDescent="0.3">
      <c r="A111">
        <v>1110</v>
      </c>
      <c r="B111" t="s">
        <v>26</v>
      </c>
      <c r="C111" t="s">
        <v>15</v>
      </c>
      <c r="D111" t="s">
        <v>12</v>
      </c>
      <c r="E111" t="s">
        <v>29</v>
      </c>
      <c r="F111">
        <v>8</v>
      </c>
      <c r="G111">
        <v>20541</v>
      </c>
      <c r="H111" s="1">
        <v>45036</v>
      </c>
      <c r="I111">
        <v>164328</v>
      </c>
      <c r="J111">
        <v>4108.2</v>
      </c>
    </row>
    <row r="112" spans="1:10" x14ac:dyDescent="0.3">
      <c r="A112">
        <v>1111</v>
      </c>
      <c r="B112" t="s">
        <v>34</v>
      </c>
      <c r="C112" t="s">
        <v>24</v>
      </c>
      <c r="D112" t="s">
        <v>12</v>
      </c>
      <c r="E112" t="s">
        <v>33</v>
      </c>
      <c r="F112">
        <v>7</v>
      </c>
      <c r="G112">
        <v>29921</v>
      </c>
      <c r="H112" s="1">
        <v>45037</v>
      </c>
      <c r="I112">
        <v>209447</v>
      </c>
      <c r="J112">
        <v>5984.2000000000007</v>
      </c>
    </row>
    <row r="113" spans="1:10" x14ac:dyDescent="0.3">
      <c r="A113">
        <v>1112</v>
      </c>
      <c r="B113" t="s">
        <v>26</v>
      </c>
      <c r="C113" t="s">
        <v>11</v>
      </c>
      <c r="D113" t="s">
        <v>22</v>
      </c>
      <c r="E113" t="s">
        <v>33</v>
      </c>
      <c r="F113">
        <v>8</v>
      </c>
      <c r="G113">
        <v>17774</v>
      </c>
      <c r="H113" s="1">
        <v>45038</v>
      </c>
      <c r="I113">
        <v>142192</v>
      </c>
      <c r="J113">
        <v>3554.8</v>
      </c>
    </row>
    <row r="114" spans="1:10" x14ac:dyDescent="0.3">
      <c r="A114">
        <v>1113</v>
      </c>
      <c r="B114" t="s">
        <v>21</v>
      </c>
      <c r="C114" t="s">
        <v>15</v>
      </c>
      <c r="D114" t="s">
        <v>19</v>
      </c>
      <c r="E114" t="s">
        <v>13</v>
      </c>
      <c r="F114">
        <v>2</v>
      </c>
      <c r="G114">
        <v>45813</v>
      </c>
      <c r="H114" s="1">
        <v>45039</v>
      </c>
      <c r="I114">
        <v>91626</v>
      </c>
      <c r="J114">
        <v>9162.6</v>
      </c>
    </row>
    <row r="115" spans="1:10" x14ac:dyDescent="0.3">
      <c r="A115">
        <v>1114</v>
      </c>
      <c r="B115" t="s">
        <v>26</v>
      </c>
      <c r="C115" t="s">
        <v>15</v>
      </c>
      <c r="D115" t="s">
        <v>16</v>
      </c>
      <c r="E115" t="s">
        <v>17</v>
      </c>
      <c r="F115">
        <v>9</v>
      </c>
      <c r="G115">
        <v>38198</v>
      </c>
      <c r="H115" s="1">
        <v>45040</v>
      </c>
      <c r="I115">
        <v>343782</v>
      </c>
      <c r="J115">
        <v>7639.6</v>
      </c>
    </row>
    <row r="116" spans="1:10" x14ac:dyDescent="0.3">
      <c r="A116">
        <v>1115</v>
      </c>
      <c r="B116" t="s">
        <v>34</v>
      </c>
      <c r="C116" t="s">
        <v>24</v>
      </c>
      <c r="D116" t="s">
        <v>12</v>
      </c>
      <c r="E116" t="s">
        <v>13</v>
      </c>
      <c r="F116">
        <v>1</v>
      </c>
      <c r="G116">
        <v>9820</v>
      </c>
      <c r="H116" s="1">
        <v>45041</v>
      </c>
      <c r="I116">
        <v>9820</v>
      </c>
      <c r="J116">
        <v>1964</v>
      </c>
    </row>
    <row r="117" spans="1:10" x14ac:dyDescent="0.3">
      <c r="A117">
        <v>1116</v>
      </c>
      <c r="B117" t="s">
        <v>21</v>
      </c>
      <c r="C117" t="s">
        <v>27</v>
      </c>
      <c r="D117" t="s">
        <v>12</v>
      </c>
      <c r="E117" t="s">
        <v>33</v>
      </c>
      <c r="F117">
        <v>8</v>
      </c>
      <c r="G117">
        <v>25070</v>
      </c>
      <c r="H117" s="1">
        <v>45042</v>
      </c>
      <c r="I117">
        <v>200560</v>
      </c>
      <c r="J117">
        <v>5014</v>
      </c>
    </row>
    <row r="118" spans="1:10" x14ac:dyDescent="0.3">
      <c r="A118">
        <v>1117</v>
      </c>
      <c r="B118" t="s">
        <v>25</v>
      </c>
      <c r="C118" t="s">
        <v>27</v>
      </c>
      <c r="D118" t="s">
        <v>16</v>
      </c>
      <c r="E118" t="s">
        <v>28</v>
      </c>
      <c r="F118">
        <v>4</v>
      </c>
      <c r="G118">
        <v>5232</v>
      </c>
      <c r="H118" s="1">
        <v>45043</v>
      </c>
      <c r="I118">
        <v>20928</v>
      </c>
      <c r="J118">
        <v>1046.4000000000001</v>
      </c>
    </row>
    <row r="119" spans="1:10" x14ac:dyDescent="0.3">
      <c r="A119">
        <v>1118</v>
      </c>
      <c r="B119" t="s">
        <v>10</v>
      </c>
      <c r="C119" t="s">
        <v>27</v>
      </c>
      <c r="D119" t="s">
        <v>16</v>
      </c>
      <c r="E119" t="s">
        <v>33</v>
      </c>
      <c r="F119">
        <v>4</v>
      </c>
      <c r="G119">
        <v>12122</v>
      </c>
      <c r="H119" s="1">
        <v>45044</v>
      </c>
      <c r="I119">
        <v>48488</v>
      </c>
      <c r="J119">
        <v>2424.4</v>
      </c>
    </row>
    <row r="120" spans="1:10" x14ac:dyDescent="0.3">
      <c r="A120">
        <v>1119</v>
      </c>
      <c r="B120" t="s">
        <v>10</v>
      </c>
      <c r="C120" t="s">
        <v>15</v>
      </c>
      <c r="D120" t="s">
        <v>12</v>
      </c>
      <c r="E120" t="s">
        <v>28</v>
      </c>
      <c r="F120">
        <v>5</v>
      </c>
      <c r="G120">
        <v>16023</v>
      </c>
      <c r="H120" s="1">
        <v>45045</v>
      </c>
      <c r="I120">
        <v>80115</v>
      </c>
      <c r="J120">
        <v>3204.6000000000004</v>
      </c>
    </row>
    <row r="121" spans="1:10" x14ac:dyDescent="0.3">
      <c r="A121">
        <v>1120</v>
      </c>
      <c r="B121" t="s">
        <v>35</v>
      </c>
      <c r="C121" t="s">
        <v>15</v>
      </c>
      <c r="D121" t="s">
        <v>12</v>
      </c>
      <c r="E121" t="s">
        <v>31</v>
      </c>
      <c r="F121">
        <v>8</v>
      </c>
      <c r="G121">
        <v>9007</v>
      </c>
      <c r="H121" s="1">
        <v>45046</v>
      </c>
      <c r="I121">
        <v>72056</v>
      </c>
      <c r="J121">
        <v>1801.4</v>
      </c>
    </row>
    <row r="122" spans="1:10" x14ac:dyDescent="0.3">
      <c r="A122">
        <v>1121</v>
      </c>
      <c r="B122" t="s">
        <v>25</v>
      </c>
      <c r="C122" t="s">
        <v>15</v>
      </c>
      <c r="D122" t="s">
        <v>16</v>
      </c>
      <c r="E122" t="s">
        <v>33</v>
      </c>
      <c r="F122">
        <v>5</v>
      </c>
      <c r="G122">
        <v>18905</v>
      </c>
      <c r="H122" s="1">
        <v>45047</v>
      </c>
      <c r="I122">
        <v>94525</v>
      </c>
      <c r="J122">
        <v>3781</v>
      </c>
    </row>
    <row r="123" spans="1:10" x14ac:dyDescent="0.3">
      <c r="A123">
        <v>1122</v>
      </c>
      <c r="B123" t="s">
        <v>25</v>
      </c>
      <c r="C123" t="s">
        <v>11</v>
      </c>
      <c r="D123" t="s">
        <v>12</v>
      </c>
      <c r="E123" t="s">
        <v>31</v>
      </c>
      <c r="F123">
        <v>8</v>
      </c>
      <c r="G123">
        <v>42786</v>
      </c>
      <c r="H123" s="1">
        <v>45048</v>
      </c>
      <c r="I123">
        <v>342288</v>
      </c>
      <c r="J123">
        <v>8557.2000000000007</v>
      </c>
    </row>
    <row r="124" spans="1:10" x14ac:dyDescent="0.3">
      <c r="A124">
        <v>1123</v>
      </c>
      <c r="B124" t="s">
        <v>26</v>
      </c>
      <c r="C124" t="s">
        <v>24</v>
      </c>
      <c r="D124" t="s">
        <v>22</v>
      </c>
      <c r="E124" t="s">
        <v>17</v>
      </c>
      <c r="F124">
        <v>1</v>
      </c>
      <c r="G124">
        <v>30398</v>
      </c>
      <c r="H124" s="1">
        <v>45049</v>
      </c>
      <c r="I124">
        <v>30398</v>
      </c>
      <c r="J124">
        <v>6079.6</v>
      </c>
    </row>
    <row r="125" spans="1:10" x14ac:dyDescent="0.3">
      <c r="A125">
        <v>1124</v>
      </c>
      <c r="B125" t="s">
        <v>10</v>
      </c>
      <c r="C125" t="s">
        <v>15</v>
      </c>
      <c r="D125" t="s">
        <v>22</v>
      </c>
      <c r="E125" t="s">
        <v>13</v>
      </c>
      <c r="F125">
        <v>9</v>
      </c>
      <c r="G125">
        <v>35268</v>
      </c>
      <c r="H125" s="1">
        <v>45050</v>
      </c>
      <c r="I125">
        <v>317412</v>
      </c>
      <c r="J125">
        <v>7053.6</v>
      </c>
    </row>
    <row r="126" spans="1:10" x14ac:dyDescent="0.3">
      <c r="A126">
        <v>1125</v>
      </c>
      <c r="B126" t="s">
        <v>34</v>
      </c>
      <c r="C126" t="s">
        <v>24</v>
      </c>
      <c r="D126" t="s">
        <v>16</v>
      </c>
      <c r="E126" t="s">
        <v>28</v>
      </c>
      <c r="F126">
        <v>6</v>
      </c>
      <c r="G126">
        <v>7737</v>
      </c>
      <c r="H126" s="1">
        <v>45051</v>
      </c>
      <c r="I126">
        <v>46422</v>
      </c>
      <c r="J126">
        <v>1547.4</v>
      </c>
    </row>
    <row r="127" spans="1:10" x14ac:dyDescent="0.3">
      <c r="A127">
        <v>1126</v>
      </c>
      <c r="B127" t="s">
        <v>14</v>
      </c>
      <c r="C127" t="s">
        <v>24</v>
      </c>
      <c r="D127" t="s">
        <v>19</v>
      </c>
      <c r="E127" t="s">
        <v>13</v>
      </c>
      <c r="F127">
        <v>3</v>
      </c>
      <c r="G127">
        <v>37062</v>
      </c>
      <c r="H127" s="1">
        <v>45052</v>
      </c>
      <c r="I127">
        <v>111186</v>
      </c>
      <c r="J127">
        <v>7412.4000000000015</v>
      </c>
    </row>
    <row r="128" spans="1:10" x14ac:dyDescent="0.3">
      <c r="A128">
        <v>1127</v>
      </c>
      <c r="B128" t="s">
        <v>14</v>
      </c>
      <c r="C128" t="s">
        <v>27</v>
      </c>
      <c r="D128" t="s">
        <v>16</v>
      </c>
      <c r="E128" t="s">
        <v>31</v>
      </c>
      <c r="F128">
        <v>8</v>
      </c>
      <c r="G128">
        <v>26510</v>
      </c>
      <c r="H128" s="1">
        <v>45053</v>
      </c>
      <c r="I128">
        <v>212080</v>
      </c>
      <c r="J128">
        <v>5302</v>
      </c>
    </row>
    <row r="129" spans="1:10" x14ac:dyDescent="0.3">
      <c r="A129">
        <v>1128</v>
      </c>
      <c r="B129" t="s">
        <v>21</v>
      </c>
      <c r="C129" t="s">
        <v>11</v>
      </c>
      <c r="D129" t="s">
        <v>16</v>
      </c>
      <c r="E129" t="s">
        <v>28</v>
      </c>
      <c r="F129">
        <v>9</v>
      </c>
      <c r="G129">
        <v>20426</v>
      </c>
      <c r="H129" s="1">
        <v>45054</v>
      </c>
      <c r="I129">
        <v>183834</v>
      </c>
      <c r="J129">
        <v>4085.2000000000003</v>
      </c>
    </row>
    <row r="130" spans="1:10" x14ac:dyDescent="0.3">
      <c r="A130">
        <v>1129</v>
      </c>
      <c r="B130" t="s">
        <v>10</v>
      </c>
      <c r="C130" t="s">
        <v>15</v>
      </c>
      <c r="D130" t="s">
        <v>19</v>
      </c>
      <c r="E130" t="s">
        <v>13</v>
      </c>
      <c r="F130">
        <v>6</v>
      </c>
      <c r="G130">
        <v>38265</v>
      </c>
      <c r="H130" s="1">
        <v>45055</v>
      </c>
      <c r="I130">
        <v>229590</v>
      </c>
      <c r="J130">
        <v>7653</v>
      </c>
    </row>
    <row r="131" spans="1:10" x14ac:dyDescent="0.3">
      <c r="A131">
        <v>1130</v>
      </c>
      <c r="B131" t="s">
        <v>10</v>
      </c>
      <c r="C131" t="s">
        <v>27</v>
      </c>
      <c r="D131" t="s">
        <v>19</v>
      </c>
      <c r="E131" t="s">
        <v>33</v>
      </c>
      <c r="F131">
        <v>7</v>
      </c>
      <c r="G131">
        <v>18850</v>
      </c>
      <c r="H131" s="1">
        <v>45056</v>
      </c>
      <c r="I131">
        <v>131950</v>
      </c>
      <c r="J131">
        <v>3770</v>
      </c>
    </row>
    <row r="132" spans="1:10" x14ac:dyDescent="0.3">
      <c r="A132">
        <v>1131</v>
      </c>
      <c r="B132" t="s">
        <v>14</v>
      </c>
      <c r="C132" t="s">
        <v>27</v>
      </c>
      <c r="D132" t="s">
        <v>19</v>
      </c>
      <c r="E132" t="s">
        <v>29</v>
      </c>
      <c r="F132">
        <v>1</v>
      </c>
      <c r="G132">
        <v>1614</v>
      </c>
      <c r="H132" s="1">
        <v>45057</v>
      </c>
      <c r="I132">
        <v>1614</v>
      </c>
      <c r="J132">
        <v>322.8</v>
      </c>
    </row>
    <row r="133" spans="1:10" x14ac:dyDescent="0.3">
      <c r="A133">
        <v>1132</v>
      </c>
      <c r="B133" t="s">
        <v>10</v>
      </c>
      <c r="C133" t="s">
        <v>15</v>
      </c>
      <c r="D133" t="s">
        <v>22</v>
      </c>
      <c r="E133" t="s">
        <v>31</v>
      </c>
      <c r="F133">
        <v>5</v>
      </c>
      <c r="G133">
        <v>22776</v>
      </c>
      <c r="H133" s="1">
        <v>45058</v>
      </c>
      <c r="I133">
        <v>113880</v>
      </c>
      <c r="J133">
        <v>4555.2</v>
      </c>
    </row>
    <row r="134" spans="1:10" x14ac:dyDescent="0.3">
      <c r="A134">
        <v>1133</v>
      </c>
      <c r="B134" t="s">
        <v>26</v>
      </c>
      <c r="C134" t="s">
        <v>24</v>
      </c>
      <c r="D134" t="s">
        <v>12</v>
      </c>
      <c r="E134" t="s">
        <v>13</v>
      </c>
      <c r="F134">
        <v>5</v>
      </c>
      <c r="G134">
        <v>25077</v>
      </c>
      <c r="H134" s="1">
        <v>45059</v>
      </c>
      <c r="I134">
        <v>125385</v>
      </c>
      <c r="J134">
        <v>5015.4000000000015</v>
      </c>
    </row>
    <row r="135" spans="1:10" x14ac:dyDescent="0.3">
      <c r="A135">
        <v>1134</v>
      </c>
      <c r="B135" t="s">
        <v>30</v>
      </c>
      <c r="C135" t="s">
        <v>27</v>
      </c>
      <c r="D135" t="s">
        <v>22</v>
      </c>
      <c r="E135" t="s">
        <v>31</v>
      </c>
      <c r="F135">
        <v>4</v>
      </c>
      <c r="G135">
        <v>10374</v>
      </c>
      <c r="H135" s="1">
        <v>45060</v>
      </c>
      <c r="I135">
        <v>41496</v>
      </c>
      <c r="J135">
        <v>2074.8000000000002</v>
      </c>
    </row>
    <row r="136" spans="1:10" x14ac:dyDescent="0.3">
      <c r="A136">
        <v>1135</v>
      </c>
      <c r="B136" t="s">
        <v>32</v>
      </c>
      <c r="C136" t="s">
        <v>24</v>
      </c>
      <c r="D136" t="s">
        <v>12</v>
      </c>
      <c r="E136" t="s">
        <v>20</v>
      </c>
      <c r="F136">
        <v>6</v>
      </c>
      <c r="G136">
        <v>36435</v>
      </c>
      <c r="H136" s="1">
        <v>45061</v>
      </c>
      <c r="I136">
        <v>218610</v>
      </c>
      <c r="J136">
        <v>7287</v>
      </c>
    </row>
    <row r="137" spans="1:10" x14ac:dyDescent="0.3">
      <c r="A137">
        <v>1136</v>
      </c>
      <c r="B137" t="s">
        <v>25</v>
      </c>
      <c r="C137" t="s">
        <v>11</v>
      </c>
      <c r="D137" t="s">
        <v>22</v>
      </c>
      <c r="E137" t="s">
        <v>31</v>
      </c>
      <c r="F137">
        <v>7</v>
      </c>
      <c r="G137">
        <v>31907</v>
      </c>
      <c r="H137" s="1">
        <v>45062</v>
      </c>
      <c r="I137">
        <v>223349</v>
      </c>
      <c r="J137">
        <v>6381.4000000000015</v>
      </c>
    </row>
    <row r="138" spans="1:10" x14ac:dyDescent="0.3">
      <c r="A138">
        <v>1137</v>
      </c>
      <c r="B138" t="s">
        <v>35</v>
      </c>
      <c r="C138" t="s">
        <v>24</v>
      </c>
      <c r="D138" t="s">
        <v>12</v>
      </c>
      <c r="E138" t="s">
        <v>28</v>
      </c>
      <c r="F138">
        <v>9</v>
      </c>
      <c r="G138">
        <v>14409</v>
      </c>
      <c r="H138" s="1">
        <v>45063</v>
      </c>
      <c r="I138">
        <v>129681</v>
      </c>
      <c r="J138">
        <v>2881.8</v>
      </c>
    </row>
    <row r="139" spans="1:10" x14ac:dyDescent="0.3">
      <c r="A139">
        <v>1138</v>
      </c>
      <c r="B139" t="s">
        <v>21</v>
      </c>
      <c r="C139" t="s">
        <v>11</v>
      </c>
      <c r="D139" t="s">
        <v>22</v>
      </c>
      <c r="E139" t="s">
        <v>20</v>
      </c>
      <c r="F139">
        <v>1</v>
      </c>
      <c r="G139">
        <v>17514</v>
      </c>
      <c r="H139" s="1">
        <v>45064</v>
      </c>
      <c r="I139">
        <v>17514</v>
      </c>
      <c r="J139">
        <v>3502.8</v>
      </c>
    </row>
    <row r="140" spans="1:10" x14ac:dyDescent="0.3">
      <c r="A140">
        <v>1139</v>
      </c>
      <c r="B140" t="s">
        <v>30</v>
      </c>
      <c r="C140" t="s">
        <v>24</v>
      </c>
      <c r="D140" t="s">
        <v>19</v>
      </c>
      <c r="E140" t="s">
        <v>23</v>
      </c>
      <c r="F140">
        <v>6</v>
      </c>
      <c r="G140">
        <v>30866</v>
      </c>
      <c r="H140" s="1">
        <v>45065</v>
      </c>
      <c r="I140">
        <v>185196</v>
      </c>
      <c r="J140">
        <v>6173.2000000000007</v>
      </c>
    </row>
    <row r="141" spans="1:10" x14ac:dyDescent="0.3">
      <c r="A141">
        <v>1140</v>
      </c>
      <c r="B141" t="s">
        <v>14</v>
      </c>
      <c r="C141" t="s">
        <v>27</v>
      </c>
      <c r="D141" t="s">
        <v>16</v>
      </c>
      <c r="E141" t="s">
        <v>28</v>
      </c>
      <c r="F141">
        <v>7</v>
      </c>
      <c r="G141">
        <v>3983</v>
      </c>
      <c r="H141" s="1">
        <v>45066</v>
      </c>
      <c r="I141">
        <v>27881</v>
      </c>
      <c r="J141">
        <v>796.6</v>
      </c>
    </row>
    <row r="142" spans="1:10" x14ac:dyDescent="0.3">
      <c r="A142">
        <v>1141</v>
      </c>
      <c r="B142" t="s">
        <v>25</v>
      </c>
      <c r="C142" t="s">
        <v>27</v>
      </c>
      <c r="D142" t="s">
        <v>22</v>
      </c>
      <c r="E142" t="s">
        <v>29</v>
      </c>
      <c r="F142">
        <v>3</v>
      </c>
      <c r="G142">
        <v>32705</v>
      </c>
      <c r="H142" s="1">
        <v>45067</v>
      </c>
      <c r="I142">
        <v>98115</v>
      </c>
      <c r="J142">
        <v>6541</v>
      </c>
    </row>
    <row r="143" spans="1:10" x14ac:dyDescent="0.3">
      <c r="A143">
        <v>1142</v>
      </c>
      <c r="B143" t="s">
        <v>10</v>
      </c>
      <c r="C143" t="s">
        <v>11</v>
      </c>
      <c r="D143" t="s">
        <v>12</v>
      </c>
      <c r="E143" t="s">
        <v>20</v>
      </c>
      <c r="F143">
        <v>8</v>
      </c>
      <c r="G143">
        <v>21662</v>
      </c>
      <c r="H143" s="1">
        <v>45068</v>
      </c>
      <c r="I143">
        <v>173296</v>
      </c>
      <c r="J143">
        <v>4332.4000000000015</v>
      </c>
    </row>
    <row r="144" spans="1:10" x14ac:dyDescent="0.3">
      <c r="A144">
        <v>1143</v>
      </c>
      <c r="B144" t="s">
        <v>35</v>
      </c>
      <c r="C144" t="s">
        <v>15</v>
      </c>
      <c r="D144" t="s">
        <v>19</v>
      </c>
      <c r="E144" t="s">
        <v>23</v>
      </c>
      <c r="F144">
        <v>5</v>
      </c>
      <c r="G144">
        <v>24510</v>
      </c>
      <c r="H144" s="1">
        <v>45069</v>
      </c>
      <c r="I144">
        <v>122550</v>
      </c>
      <c r="J144">
        <v>4902</v>
      </c>
    </row>
    <row r="145" spans="1:10" x14ac:dyDescent="0.3">
      <c r="A145">
        <v>1144</v>
      </c>
      <c r="B145" t="s">
        <v>10</v>
      </c>
      <c r="C145" t="s">
        <v>11</v>
      </c>
      <c r="D145" t="s">
        <v>22</v>
      </c>
      <c r="E145" t="s">
        <v>33</v>
      </c>
      <c r="F145">
        <v>9</v>
      </c>
      <c r="G145">
        <v>13651</v>
      </c>
      <c r="H145" s="1">
        <v>45070</v>
      </c>
      <c r="I145">
        <v>122859</v>
      </c>
      <c r="J145">
        <v>2730.2000000000003</v>
      </c>
    </row>
    <row r="146" spans="1:10" x14ac:dyDescent="0.3">
      <c r="A146">
        <v>1145</v>
      </c>
      <c r="B146" t="s">
        <v>34</v>
      </c>
      <c r="C146" t="s">
        <v>11</v>
      </c>
      <c r="D146" t="s">
        <v>22</v>
      </c>
      <c r="E146" t="s">
        <v>31</v>
      </c>
      <c r="F146">
        <v>5</v>
      </c>
      <c r="G146">
        <v>41998</v>
      </c>
      <c r="H146" s="1">
        <v>45071</v>
      </c>
      <c r="I146">
        <v>209990</v>
      </c>
      <c r="J146">
        <v>8399.6</v>
      </c>
    </row>
    <row r="147" spans="1:10" x14ac:dyDescent="0.3">
      <c r="A147">
        <v>1146</v>
      </c>
      <c r="B147" t="s">
        <v>34</v>
      </c>
      <c r="C147" t="s">
        <v>24</v>
      </c>
      <c r="D147" t="s">
        <v>19</v>
      </c>
      <c r="E147" t="s">
        <v>13</v>
      </c>
      <c r="F147">
        <v>9</v>
      </c>
      <c r="G147">
        <v>29535</v>
      </c>
      <c r="H147" s="1">
        <v>45072</v>
      </c>
      <c r="I147">
        <v>265815</v>
      </c>
      <c r="J147">
        <v>5907</v>
      </c>
    </row>
    <row r="148" spans="1:10" x14ac:dyDescent="0.3">
      <c r="A148">
        <v>1147</v>
      </c>
      <c r="B148" t="s">
        <v>35</v>
      </c>
      <c r="C148" t="s">
        <v>24</v>
      </c>
      <c r="D148" t="s">
        <v>22</v>
      </c>
      <c r="E148" t="s">
        <v>17</v>
      </c>
      <c r="F148">
        <v>4</v>
      </c>
      <c r="G148">
        <v>7640</v>
      </c>
      <c r="H148" s="1">
        <v>45073</v>
      </c>
      <c r="I148">
        <v>30560</v>
      </c>
      <c r="J148">
        <v>1528</v>
      </c>
    </row>
    <row r="149" spans="1:10" x14ac:dyDescent="0.3">
      <c r="A149">
        <v>1148</v>
      </c>
      <c r="B149" t="s">
        <v>35</v>
      </c>
      <c r="C149" t="s">
        <v>11</v>
      </c>
      <c r="D149" t="s">
        <v>16</v>
      </c>
      <c r="E149" t="s">
        <v>31</v>
      </c>
      <c r="F149">
        <v>9</v>
      </c>
      <c r="G149">
        <v>45547</v>
      </c>
      <c r="H149" s="1">
        <v>45074</v>
      </c>
      <c r="I149">
        <v>409923</v>
      </c>
      <c r="J149">
        <v>9109.4</v>
      </c>
    </row>
    <row r="150" spans="1:10" x14ac:dyDescent="0.3">
      <c r="A150">
        <v>1149</v>
      </c>
      <c r="B150" t="s">
        <v>14</v>
      </c>
      <c r="C150" t="s">
        <v>27</v>
      </c>
      <c r="D150" t="s">
        <v>22</v>
      </c>
      <c r="E150" t="s">
        <v>23</v>
      </c>
      <c r="F150">
        <v>5</v>
      </c>
      <c r="G150">
        <v>16317</v>
      </c>
      <c r="H150" s="1">
        <v>45075</v>
      </c>
      <c r="I150">
        <v>81585</v>
      </c>
      <c r="J150">
        <v>3263.4</v>
      </c>
    </row>
    <row r="151" spans="1:10" x14ac:dyDescent="0.3">
      <c r="A151">
        <v>1150</v>
      </c>
      <c r="B151" t="s">
        <v>35</v>
      </c>
      <c r="C151" t="s">
        <v>24</v>
      </c>
      <c r="D151" t="s">
        <v>16</v>
      </c>
      <c r="E151" t="s">
        <v>31</v>
      </c>
      <c r="F151">
        <v>9</v>
      </c>
      <c r="G151">
        <v>8564</v>
      </c>
      <c r="H151" s="1">
        <v>45076</v>
      </c>
      <c r="I151">
        <v>77076</v>
      </c>
      <c r="J151">
        <v>1712.8000000000002</v>
      </c>
    </row>
    <row r="152" spans="1:10" x14ac:dyDescent="0.3">
      <c r="A152">
        <v>1151</v>
      </c>
      <c r="B152" t="s">
        <v>26</v>
      </c>
      <c r="C152" t="s">
        <v>15</v>
      </c>
      <c r="D152" t="s">
        <v>16</v>
      </c>
      <c r="E152" t="s">
        <v>29</v>
      </c>
      <c r="F152">
        <v>3</v>
      </c>
      <c r="G152">
        <v>28345</v>
      </c>
      <c r="H152" s="1">
        <v>45077</v>
      </c>
      <c r="I152">
        <v>85035</v>
      </c>
      <c r="J152">
        <v>5669</v>
      </c>
    </row>
    <row r="153" spans="1:10" x14ac:dyDescent="0.3">
      <c r="A153">
        <v>1152</v>
      </c>
      <c r="B153" t="s">
        <v>10</v>
      </c>
      <c r="C153" t="s">
        <v>24</v>
      </c>
      <c r="D153" t="s">
        <v>19</v>
      </c>
      <c r="E153" t="s">
        <v>33</v>
      </c>
      <c r="F153">
        <v>4</v>
      </c>
      <c r="G153">
        <v>49288</v>
      </c>
      <c r="H153" s="1">
        <v>45078</v>
      </c>
      <c r="I153">
        <v>197152</v>
      </c>
      <c r="J153">
        <v>9857.6</v>
      </c>
    </row>
    <row r="154" spans="1:10" x14ac:dyDescent="0.3">
      <c r="A154">
        <v>1153</v>
      </c>
      <c r="B154" t="s">
        <v>30</v>
      </c>
      <c r="C154" t="s">
        <v>24</v>
      </c>
      <c r="D154" t="s">
        <v>22</v>
      </c>
      <c r="E154" t="s">
        <v>17</v>
      </c>
      <c r="F154">
        <v>9</v>
      </c>
      <c r="G154">
        <v>29687</v>
      </c>
      <c r="H154" s="1">
        <v>45079</v>
      </c>
      <c r="I154">
        <v>267183</v>
      </c>
      <c r="J154">
        <v>5937.4000000000015</v>
      </c>
    </row>
    <row r="155" spans="1:10" x14ac:dyDescent="0.3">
      <c r="A155">
        <v>1154</v>
      </c>
      <c r="B155" t="s">
        <v>18</v>
      </c>
      <c r="C155" t="s">
        <v>15</v>
      </c>
      <c r="D155" t="s">
        <v>19</v>
      </c>
      <c r="E155" t="s">
        <v>20</v>
      </c>
      <c r="F155">
        <v>6</v>
      </c>
      <c r="G155">
        <v>14737</v>
      </c>
      <c r="H155" s="1">
        <v>45080</v>
      </c>
      <c r="I155">
        <v>88422</v>
      </c>
      <c r="J155">
        <v>2947.4</v>
      </c>
    </row>
    <row r="156" spans="1:10" x14ac:dyDescent="0.3">
      <c r="A156">
        <v>1155</v>
      </c>
      <c r="B156" t="s">
        <v>35</v>
      </c>
      <c r="C156" t="s">
        <v>11</v>
      </c>
      <c r="D156" t="s">
        <v>22</v>
      </c>
      <c r="E156" t="s">
        <v>20</v>
      </c>
      <c r="F156">
        <v>2</v>
      </c>
      <c r="G156">
        <v>10323</v>
      </c>
      <c r="H156" s="1">
        <v>45081</v>
      </c>
      <c r="I156">
        <v>20646</v>
      </c>
      <c r="J156">
        <v>2064.6</v>
      </c>
    </row>
    <row r="157" spans="1:10" x14ac:dyDescent="0.3">
      <c r="A157">
        <v>1156</v>
      </c>
      <c r="B157" t="s">
        <v>21</v>
      </c>
      <c r="C157" t="s">
        <v>15</v>
      </c>
      <c r="D157" t="s">
        <v>22</v>
      </c>
      <c r="E157" t="s">
        <v>20</v>
      </c>
      <c r="F157">
        <v>7</v>
      </c>
      <c r="G157">
        <v>16229</v>
      </c>
      <c r="H157" s="1">
        <v>45082</v>
      </c>
      <c r="I157">
        <v>113603</v>
      </c>
      <c r="J157">
        <v>3245.8</v>
      </c>
    </row>
    <row r="158" spans="1:10" x14ac:dyDescent="0.3">
      <c r="A158">
        <v>1157</v>
      </c>
      <c r="B158" t="s">
        <v>34</v>
      </c>
      <c r="C158" t="s">
        <v>11</v>
      </c>
      <c r="D158" t="s">
        <v>12</v>
      </c>
      <c r="E158" t="s">
        <v>23</v>
      </c>
      <c r="F158">
        <v>2</v>
      </c>
      <c r="G158">
        <v>45481</v>
      </c>
      <c r="H158" s="1">
        <v>45083</v>
      </c>
      <c r="I158">
        <v>90962</v>
      </c>
      <c r="J158">
        <v>9096.2000000000007</v>
      </c>
    </row>
    <row r="159" spans="1:10" x14ac:dyDescent="0.3">
      <c r="A159">
        <v>1158</v>
      </c>
      <c r="B159" t="s">
        <v>26</v>
      </c>
      <c r="C159" t="s">
        <v>11</v>
      </c>
      <c r="D159" t="s">
        <v>22</v>
      </c>
      <c r="E159" t="s">
        <v>28</v>
      </c>
      <c r="F159">
        <v>2</v>
      </c>
      <c r="G159">
        <v>9502</v>
      </c>
      <c r="H159" s="1">
        <v>45084</v>
      </c>
      <c r="I159">
        <v>19004</v>
      </c>
      <c r="J159">
        <v>1900.4</v>
      </c>
    </row>
    <row r="160" spans="1:10" x14ac:dyDescent="0.3">
      <c r="A160">
        <v>1159</v>
      </c>
      <c r="B160" t="s">
        <v>25</v>
      </c>
      <c r="C160" t="s">
        <v>11</v>
      </c>
      <c r="D160" t="s">
        <v>19</v>
      </c>
      <c r="E160" t="s">
        <v>28</v>
      </c>
      <c r="F160">
        <v>1</v>
      </c>
      <c r="G160">
        <v>1545</v>
      </c>
      <c r="H160" s="1">
        <v>45085</v>
      </c>
      <c r="I160">
        <v>1545</v>
      </c>
      <c r="J160">
        <v>309</v>
      </c>
    </row>
    <row r="161" spans="1:10" x14ac:dyDescent="0.3">
      <c r="A161">
        <v>1160</v>
      </c>
      <c r="B161" t="s">
        <v>18</v>
      </c>
      <c r="C161" t="s">
        <v>15</v>
      </c>
      <c r="D161" t="s">
        <v>16</v>
      </c>
      <c r="E161" t="s">
        <v>13</v>
      </c>
      <c r="F161">
        <v>3</v>
      </c>
      <c r="G161">
        <v>38114</v>
      </c>
      <c r="H161" s="1">
        <v>45086</v>
      </c>
      <c r="I161">
        <v>114342</v>
      </c>
      <c r="J161">
        <v>7622.8</v>
      </c>
    </row>
    <row r="162" spans="1:10" x14ac:dyDescent="0.3">
      <c r="A162">
        <v>1161</v>
      </c>
      <c r="B162" t="s">
        <v>30</v>
      </c>
      <c r="C162" t="s">
        <v>11</v>
      </c>
      <c r="D162" t="s">
        <v>22</v>
      </c>
      <c r="E162" t="s">
        <v>17</v>
      </c>
      <c r="F162">
        <v>6</v>
      </c>
      <c r="G162">
        <v>30430</v>
      </c>
      <c r="H162" s="1">
        <v>45087</v>
      </c>
      <c r="I162">
        <v>182580</v>
      </c>
      <c r="J162">
        <v>6086</v>
      </c>
    </row>
    <row r="163" spans="1:10" x14ac:dyDescent="0.3">
      <c r="A163">
        <v>1162</v>
      </c>
      <c r="B163" t="s">
        <v>18</v>
      </c>
      <c r="C163" t="s">
        <v>27</v>
      </c>
      <c r="D163" t="s">
        <v>12</v>
      </c>
      <c r="E163" t="s">
        <v>20</v>
      </c>
      <c r="F163">
        <v>8</v>
      </c>
      <c r="G163">
        <v>10996</v>
      </c>
      <c r="H163" s="1">
        <v>45088</v>
      </c>
      <c r="I163">
        <v>87968</v>
      </c>
      <c r="J163">
        <v>2199.2000000000003</v>
      </c>
    </row>
    <row r="164" spans="1:10" x14ac:dyDescent="0.3">
      <c r="A164">
        <v>1163</v>
      </c>
      <c r="B164" t="s">
        <v>35</v>
      </c>
      <c r="C164" t="s">
        <v>15</v>
      </c>
      <c r="D164" t="s">
        <v>19</v>
      </c>
      <c r="E164" t="s">
        <v>28</v>
      </c>
      <c r="F164">
        <v>9</v>
      </c>
      <c r="G164">
        <v>28788</v>
      </c>
      <c r="H164" s="1">
        <v>45089</v>
      </c>
      <c r="I164">
        <v>259092</v>
      </c>
      <c r="J164">
        <v>5757.6</v>
      </c>
    </row>
    <row r="165" spans="1:10" x14ac:dyDescent="0.3">
      <c r="A165">
        <v>1164</v>
      </c>
      <c r="B165" t="s">
        <v>14</v>
      </c>
      <c r="C165" t="s">
        <v>27</v>
      </c>
      <c r="D165" t="s">
        <v>22</v>
      </c>
      <c r="E165" t="s">
        <v>23</v>
      </c>
      <c r="F165">
        <v>7</v>
      </c>
      <c r="G165">
        <v>30969</v>
      </c>
      <c r="H165" s="1">
        <v>45090</v>
      </c>
      <c r="I165">
        <v>216783</v>
      </c>
      <c r="J165">
        <v>6193.8</v>
      </c>
    </row>
    <row r="166" spans="1:10" x14ac:dyDescent="0.3">
      <c r="A166">
        <v>1165</v>
      </c>
      <c r="B166" t="s">
        <v>34</v>
      </c>
      <c r="C166" t="s">
        <v>11</v>
      </c>
      <c r="D166" t="s">
        <v>19</v>
      </c>
      <c r="E166" t="s">
        <v>13</v>
      </c>
      <c r="F166">
        <v>4</v>
      </c>
      <c r="G166">
        <v>49543</v>
      </c>
      <c r="H166" s="1">
        <v>45091</v>
      </c>
      <c r="I166">
        <v>198172</v>
      </c>
      <c r="J166">
        <v>9908.6</v>
      </c>
    </row>
    <row r="167" spans="1:10" x14ac:dyDescent="0.3">
      <c r="A167">
        <v>1166</v>
      </c>
      <c r="B167" t="s">
        <v>34</v>
      </c>
      <c r="C167" t="s">
        <v>24</v>
      </c>
      <c r="D167" t="s">
        <v>12</v>
      </c>
      <c r="E167" t="s">
        <v>33</v>
      </c>
      <c r="F167">
        <v>6</v>
      </c>
      <c r="G167">
        <v>14919</v>
      </c>
      <c r="H167" s="1">
        <v>45092</v>
      </c>
      <c r="I167">
        <v>89514</v>
      </c>
      <c r="J167">
        <v>2983.8</v>
      </c>
    </row>
    <row r="168" spans="1:10" x14ac:dyDescent="0.3">
      <c r="A168">
        <v>1167</v>
      </c>
      <c r="B168" t="s">
        <v>25</v>
      </c>
      <c r="C168" t="s">
        <v>11</v>
      </c>
      <c r="D168" t="s">
        <v>12</v>
      </c>
      <c r="E168" t="s">
        <v>13</v>
      </c>
      <c r="F168">
        <v>5</v>
      </c>
      <c r="G168">
        <v>4810</v>
      </c>
      <c r="H168" s="1">
        <v>45093</v>
      </c>
      <c r="I168">
        <v>24050</v>
      </c>
      <c r="J168">
        <v>962</v>
      </c>
    </row>
    <row r="169" spans="1:10" x14ac:dyDescent="0.3">
      <c r="A169">
        <v>1168</v>
      </c>
      <c r="B169" t="s">
        <v>14</v>
      </c>
      <c r="C169" t="s">
        <v>27</v>
      </c>
      <c r="D169" t="s">
        <v>19</v>
      </c>
      <c r="E169" t="s">
        <v>28</v>
      </c>
      <c r="F169">
        <v>8</v>
      </c>
      <c r="G169">
        <v>31586</v>
      </c>
      <c r="H169" s="1">
        <v>45094</v>
      </c>
      <c r="I169">
        <v>252688</v>
      </c>
      <c r="J169">
        <v>6317.2000000000007</v>
      </c>
    </row>
    <row r="170" spans="1:10" x14ac:dyDescent="0.3">
      <c r="A170">
        <v>1169</v>
      </c>
      <c r="B170" t="s">
        <v>10</v>
      </c>
      <c r="C170" t="s">
        <v>27</v>
      </c>
      <c r="D170" t="s">
        <v>22</v>
      </c>
      <c r="E170" t="s">
        <v>29</v>
      </c>
      <c r="F170">
        <v>1</v>
      </c>
      <c r="G170">
        <v>40974</v>
      </c>
      <c r="H170" s="1">
        <v>45095</v>
      </c>
      <c r="I170">
        <v>40974</v>
      </c>
      <c r="J170">
        <v>8194.8000000000011</v>
      </c>
    </row>
    <row r="171" spans="1:10" x14ac:dyDescent="0.3">
      <c r="A171">
        <v>1170</v>
      </c>
      <c r="B171" t="s">
        <v>32</v>
      </c>
      <c r="C171" t="s">
        <v>15</v>
      </c>
      <c r="D171" t="s">
        <v>16</v>
      </c>
      <c r="E171" t="s">
        <v>23</v>
      </c>
      <c r="F171">
        <v>1</v>
      </c>
      <c r="G171">
        <v>42773</v>
      </c>
      <c r="H171" s="1">
        <v>45096</v>
      </c>
      <c r="I171">
        <v>42773</v>
      </c>
      <c r="J171">
        <v>8554.6</v>
      </c>
    </row>
    <row r="172" spans="1:10" x14ac:dyDescent="0.3">
      <c r="A172">
        <v>1171</v>
      </c>
      <c r="B172" t="s">
        <v>26</v>
      </c>
      <c r="C172" t="s">
        <v>24</v>
      </c>
      <c r="D172" t="s">
        <v>12</v>
      </c>
      <c r="E172" t="s">
        <v>29</v>
      </c>
      <c r="F172">
        <v>6</v>
      </c>
      <c r="G172">
        <v>17371</v>
      </c>
      <c r="H172" s="1">
        <v>45097</v>
      </c>
      <c r="I172">
        <v>104226</v>
      </c>
      <c r="J172">
        <v>3474.2000000000003</v>
      </c>
    </row>
    <row r="173" spans="1:10" x14ac:dyDescent="0.3">
      <c r="A173">
        <v>1172</v>
      </c>
      <c r="B173" t="s">
        <v>34</v>
      </c>
      <c r="C173" t="s">
        <v>15</v>
      </c>
      <c r="D173" t="s">
        <v>22</v>
      </c>
      <c r="E173" t="s">
        <v>20</v>
      </c>
      <c r="F173">
        <v>2</v>
      </c>
      <c r="G173">
        <v>46084</v>
      </c>
      <c r="H173" s="1">
        <v>45098</v>
      </c>
      <c r="I173">
        <v>92168</v>
      </c>
      <c r="J173">
        <v>9216.8000000000011</v>
      </c>
    </row>
    <row r="174" spans="1:10" x14ac:dyDescent="0.3">
      <c r="A174">
        <v>1173</v>
      </c>
      <c r="B174" t="s">
        <v>21</v>
      </c>
      <c r="C174" t="s">
        <v>27</v>
      </c>
      <c r="D174" t="s">
        <v>22</v>
      </c>
      <c r="E174" t="s">
        <v>29</v>
      </c>
      <c r="F174">
        <v>5</v>
      </c>
      <c r="G174">
        <v>30629</v>
      </c>
      <c r="H174" s="1">
        <v>45099</v>
      </c>
      <c r="I174">
        <v>153145</v>
      </c>
      <c r="J174">
        <v>6125.8</v>
      </c>
    </row>
    <row r="175" spans="1:10" x14ac:dyDescent="0.3">
      <c r="A175">
        <v>1174</v>
      </c>
      <c r="B175" t="s">
        <v>34</v>
      </c>
      <c r="C175" t="s">
        <v>11</v>
      </c>
      <c r="D175" t="s">
        <v>16</v>
      </c>
      <c r="E175" t="s">
        <v>20</v>
      </c>
      <c r="F175">
        <v>1</v>
      </c>
      <c r="G175">
        <v>9436</v>
      </c>
      <c r="H175" s="1">
        <v>45100</v>
      </c>
      <c r="I175">
        <v>9436</v>
      </c>
      <c r="J175">
        <v>1887.2</v>
      </c>
    </row>
    <row r="176" spans="1:10" x14ac:dyDescent="0.3">
      <c r="A176">
        <v>1175</v>
      </c>
      <c r="B176" t="s">
        <v>18</v>
      </c>
      <c r="C176" t="s">
        <v>24</v>
      </c>
      <c r="D176" t="s">
        <v>12</v>
      </c>
      <c r="E176" t="s">
        <v>20</v>
      </c>
      <c r="F176">
        <v>7</v>
      </c>
      <c r="G176">
        <v>13984</v>
      </c>
      <c r="H176" s="1">
        <v>45101</v>
      </c>
      <c r="I176">
        <v>97888</v>
      </c>
      <c r="J176">
        <v>2796.8</v>
      </c>
    </row>
    <row r="177" spans="1:10" x14ac:dyDescent="0.3">
      <c r="A177">
        <v>1176</v>
      </c>
      <c r="B177" t="s">
        <v>34</v>
      </c>
      <c r="C177" t="s">
        <v>11</v>
      </c>
      <c r="D177" t="s">
        <v>12</v>
      </c>
      <c r="E177" t="s">
        <v>28</v>
      </c>
      <c r="F177">
        <v>1</v>
      </c>
      <c r="G177">
        <v>34039</v>
      </c>
      <c r="H177" s="1">
        <v>45102</v>
      </c>
      <c r="I177">
        <v>34039</v>
      </c>
      <c r="J177">
        <v>6807.8</v>
      </c>
    </row>
    <row r="178" spans="1:10" x14ac:dyDescent="0.3">
      <c r="A178">
        <v>1177</v>
      </c>
      <c r="B178" t="s">
        <v>34</v>
      </c>
      <c r="C178" t="s">
        <v>11</v>
      </c>
      <c r="D178" t="s">
        <v>22</v>
      </c>
      <c r="E178" t="s">
        <v>29</v>
      </c>
      <c r="F178">
        <v>4</v>
      </c>
      <c r="G178">
        <v>20895</v>
      </c>
      <c r="H178" s="1">
        <v>45103</v>
      </c>
      <c r="I178">
        <v>83580</v>
      </c>
      <c r="J178">
        <v>4179</v>
      </c>
    </row>
    <row r="179" spans="1:10" x14ac:dyDescent="0.3">
      <c r="A179">
        <v>1178</v>
      </c>
      <c r="B179" t="s">
        <v>32</v>
      </c>
      <c r="C179" t="s">
        <v>24</v>
      </c>
      <c r="D179" t="s">
        <v>22</v>
      </c>
      <c r="E179" t="s">
        <v>20</v>
      </c>
      <c r="F179">
        <v>9</v>
      </c>
      <c r="G179">
        <v>19155</v>
      </c>
      <c r="H179" s="1">
        <v>45104</v>
      </c>
      <c r="I179">
        <v>172395</v>
      </c>
      <c r="J179">
        <v>3831</v>
      </c>
    </row>
    <row r="180" spans="1:10" x14ac:dyDescent="0.3">
      <c r="A180">
        <v>1179</v>
      </c>
      <c r="B180" t="s">
        <v>32</v>
      </c>
      <c r="C180" t="s">
        <v>15</v>
      </c>
      <c r="D180" t="s">
        <v>16</v>
      </c>
      <c r="E180" t="s">
        <v>17</v>
      </c>
      <c r="F180">
        <v>1</v>
      </c>
      <c r="G180">
        <v>11616</v>
      </c>
      <c r="H180" s="1">
        <v>45105</v>
      </c>
      <c r="I180">
        <v>11616</v>
      </c>
      <c r="J180">
        <v>2323.2000000000003</v>
      </c>
    </row>
    <row r="181" spans="1:10" x14ac:dyDescent="0.3">
      <c r="A181">
        <v>1180</v>
      </c>
      <c r="B181" t="s">
        <v>30</v>
      </c>
      <c r="C181" t="s">
        <v>11</v>
      </c>
      <c r="D181" t="s">
        <v>16</v>
      </c>
      <c r="E181" t="s">
        <v>33</v>
      </c>
      <c r="F181">
        <v>4</v>
      </c>
      <c r="G181">
        <v>38129</v>
      </c>
      <c r="H181" s="1">
        <v>45106</v>
      </c>
      <c r="I181">
        <v>152516</v>
      </c>
      <c r="J181">
        <v>7625.8</v>
      </c>
    </row>
    <row r="182" spans="1:10" x14ac:dyDescent="0.3">
      <c r="A182">
        <v>1181</v>
      </c>
      <c r="B182" t="s">
        <v>10</v>
      </c>
      <c r="C182" t="s">
        <v>27</v>
      </c>
      <c r="D182" t="s">
        <v>12</v>
      </c>
      <c r="E182" t="s">
        <v>13</v>
      </c>
      <c r="F182">
        <v>6</v>
      </c>
      <c r="G182">
        <v>40837</v>
      </c>
      <c r="H182" s="1">
        <v>45107</v>
      </c>
      <c r="I182">
        <v>245022</v>
      </c>
      <c r="J182">
        <v>8167.4000000000015</v>
      </c>
    </row>
    <row r="183" spans="1:10" x14ac:dyDescent="0.3">
      <c r="A183">
        <v>1182</v>
      </c>
      <c r="B183" t="s">
        <v>21</v>
      </c>
      <c r="C183" t="s">
        <v>11</v>
      </c>
      <c r="D183" t="s">
        <v>19</v>
      </c>
      <c r="E183" t="s">
        <v>13</v>
      </c>
      <c r="F183">
        <v>6</v>
      </c>
      <c r="G183">
        <v>25574</v>
      </c>
      <c r="H183" s="1">
        <v>45108</v>
      </c>
      <c r="I183">
        <v>153444</v>
      </c>
      <c r="J183">
        <v>5114.8</v>
      </c>
    </row>
    <row r="184" spans="1:10" x14ac:dyDescent="0.3">
      <c r="A184">
        <v>1183</v>
      </c>
      <c r="B184" t="s">
        <v>34</v>
      </c>
      <c r="C184" t="s">
        <v>24</v>
      </c>
      <c r="D184" t="s">
        <v>12</v>
      </c>
      <c r="E184" t="s">
        <v>28</v>
      </c>
      <c r="F184">
        <v>8</v>
      </c>
      <c r="G184">
        <v>4430</v>
      </c>
      <c r="H184" s="1">
        <v>45109</v>
      </c>
      <c r="I184">
        <v>35440</v>
      </c>
      <c r="J184">
        <v>886</v>
      </c>
    </row>
    <row r="185" spans="1:10" x14ac:dyDescent="0.3">
      <c r="A185">
        <v>1184</v>
      </c>
      <c r="B185" t="s">
        <v>34</v>
      </c>
      <c r="C185" t="s">
        <v>24</v>
      </c>
      <c r="D185" t="s">
        <v>22</v>
      </c>
      <c r="E185" t="s">
        <v>29</v>
      </c>
      <c r="F185">
        <v>1</v>
      </c>
      <c r="G185">
        <v>13676</v>
      </c>
      <c r="H185" s="1">
        <v>45110</v>
      </c>
      <c r="I185">
        <v>13676</v>
      </c>
      <c r="J185">
        <v>2735.2000000000003</v>
      </c>
    </row>
    <row r="186" spans="1:10" x14ac:dyDescent="0.3">
      <c r="A186">
        <v>1185</v>
      </c>
      <c r="B186" t="s">
        <v>26</v>
      </c>
      <c r="C186" t="s">
        <v>24</v>
      </c>
      <c r="D186" t="s">
        <v>12</v>
      </c>
      <c r="E186" t="s">
        <v>29</v>
      </c>
      <c r="F186">
        <v>7</v>
      </c>
      <c r="G186">
        <v>11816</v>
      </c>
      <c r="H186" s="1">
        <v>45111</v>
      </c>
      <c r="I186">
        <v>82712</v>
      </c>
      <c r="J186">
        <v>2363.2000000000003</v>
      </c>
    </row>
    <row r="187" spans="1:10" x14ac:dyDescent="0.3">
      <c r="A187">
        <v>1186</v>
      </c>
      <c r="B187" t="s">
        <v>32</v>
      </c>
      <c r="C187" t="s">
        <v>15</v>
      </c>
      <c r="D187" t="s">
        <v>19</v>
      </c>
      <c r="E187" t="s">
        <v>20</v>
      </c>
      <c r="F187">
        <v>1</v>
      </c>
      <c r="G187">
        <v>33733</v>
      </c>
      <c r="H187" s="1">
        <v>45112</v>
      </c>
      <c r="I187">
        <v>33733</v>
      </c>
      <c r="J187">
        <v>6746.6</v>
      </c>
    </row>
    <row r="188" spans="1:10" x14ac:dyDescent="0.3">
      <c r="A188">
        <v>1187</v>
      </c>
      <c r="B188" t="s">
        <v>21</v>
      </c>
      <c r="C188" t="s">
        <v>11</v>
      </c>
      <c r="D188" t="s">
        <v>16</v>
      </c>
      <c r="E188" t="s">
        <v>23</v>
      </c>
      <c r="F188">
        <v>7</v>
      </c>
      <c r="G188">
        <v>21144</v>
      </c>
      <c r="H188" s="1">
        <v>45113</v>
      </c>
      <c r="I188">
        <v>148008</v>
      </c>
      <c r="J188">
        <v>4228.8</v>
      </c>
    </row>
    <row r="189" spans="1:10" x14ac:dyDescent="0.3">
      <c r="A189">
        <v>1188</v>
      </c>
      <c r="B189" t="s">
        <v>25</v>
      </c>
      <c r="C189" t="s">
        <v>15</v>
      </c>
      <c r="D189" t="s">
        <v>19</v>
      </c>
      <c r="E189" t="s">
        <v>31</v>
      </c>
      <c r="F189">
        <v>3</v>
      </c>
      <c r="G189">
        <v>3050</v>
      </c>
      <c r="H189" s="1">
        <v>45114</v>
      </c>
      <c r="I189">
        <v>9150</v>
      </c>
      <c r="J189">
        <v>610</v>
      </c>
    </row>
    <row r="190" spans="1:10" x14ac:dyDescent="0.3">
      <c r="A190">
        <v>1189</v>
      </c>
      <c r="B190" t="s">
        <v>30</v>
      </c>
      <c r="C190" t="s">
        <v>15</v>
      </c>
      <c r="D190" t="s">
        <v>19</v>
      </c>
      <c r="E190" t="s">
        <v>20</v>
      </c>
      <c r="F190">
        <v>8</v>
      </c>
      <c r="G190">
        <v>45460</v>
      </c>
      <c r="H190" s="1">
        <v>45115</v>
      </c>
      <c r="I190">
        <v>363680</v>
      </c>
      <c r="J190">
        <v>9092</v>
      </c>
    </row>
    <row r="191" spans="1:10" x14ac:dyDescent="0.3">
      <c r="A191">
        <v>1190</v>
      </c>
      <c r="B191" t="s">
        <v>10</v>
      </c>
      <c r="C191" t="s">
        <v>24</v>
      </c>
      <c r="D191" t="s">
        <v>19</v>
      </c>
      <c r="E191" t="s">
        <v>33</v>
      </c>
      <c r="F191">
        <v>3</v>
      </c>
      <c r="G191">
        <v>34933</v>
      </c>
      <c r="H191" s="1">
        <v>45116</v>
      </c>
      <c r="I191">
        <v>104799</v>
      </c>
      <c r="J191">
        <v>6986.6</v>
      </c>
    </row>
    <row r="192" spans="1:10" x14ac:dyDescent="0.3">
      <c r="A192">
        <v>1191</v>
      </c>
      <c r="B192" t="s">
        <v>14</v>
      </c>
      <c r="C192" t="s">
        <v>24</v>
      </c>
      <c r="D192" t="s">
        <v>16</v>
      </c>
      <c r="E192" t="s">
        <v>17</v>
      </c>
      <c r="F192">
        <v>1</v>
      </c>
      <c r="G192">
        <v>25951</v>
      </c>
      <c r="H192" s="1">
        <v>45117</v>
      </c>
      <c r="I192">
        <v>25951</v>
      </c>
      <c r="J192">
        <v>5190.2000000000007</v>
      </c>
    </row>
    <row r="193" spans="1:10" x14ac:dyDescent="0.3">
      <c r="A193">
        <v>1192</v>
      </c>
      <c r="B193" t="s">
        <v>10</v>
      </c>
      <c r="C193" t="s">
        <v>15</v>
      </c>
      <c r="D193" t="s">
        <v>19</v>
      </c>
      <c r="E193" t="s">
        <v>13</v>
      </c>
      <c r="F193">
        <v>8</v>
      </c>
      <c r="G193">
        <v>33413</v>
      </c>
      <c r="H193" s="1">
        <v>45118</v>
      </c>
      <c r="I193">
        <v>267304</v>
      </c>
      <c r="J193">
        <v>6682.6</v>
      </c>
    </row>
    <row r="194" spans="1:10" x14ac:dyDescent="0.3">
      <c r="A194">
        <v>1193</v>
      </c>
      <c r="B194" t="s">
        <v>18</v>
      </c>
      <c r="C194" t="s">
        <v>11</v>
      </c>
      <c r="D194" t="s">
        <v>19</v>
      </c>
      <c r="E194" t="s">
        <v>20</v>
      </c>
      <c r="F194">
        <v>3</v>
      </c>
      <c r="G194">
        <v>35801</v>
      </c>
      <c r="H194" s="1">
        <v>45119</v>
      </c>
      <c r="I194">
        <v>107403</v>
      </c>
      <c r="J194">
        <v>7160.2000000000007</v>
      </c>
    </row>
    <row r="195" spans="1:10" x14ac:dyDescent="0.3">
      <c r="A195">
        <v>1194</v>
      </c>
      <c r="B195" t="s">
        <v>34</v>
      </c>
      <c r="C195" t="s">
        <v>27</v>
      </c>
      <c r="D195" t="s">
        <v>19</v>
      </c>
      <c r="E195" t="s">
        <v>31</v>
      </c>
      <c r="F195">
        <v>2</v>
      </c>
      <c r="G195">
        <v>33913</v>
      </c>
      <c r="H195" s="1">
        <v>45120</v>
      </c>
      <c r="I195">
        <v>67826</v>
      </c>
      <c r="J195">
        <v>6782.6</v>
      </c>
    </row>
    <row r="196" spans="1:10" x14ac:dyDescent="0.3">
      <c r="A196">
        <v>1195</v>
      </c>
      <c r="B196" t="s">
        <v>30</v>
      </c>
      <c r="C196" t="s">
        <v>15</v>
      </c>
      <c r="D196" t="s">
        <v>22</v>
      </c>
      <c r="E196" t="s">
        <v>31</v>
      </c>
      <c r="F196">
        <v>1</v>
      </c>
      <c r="G196">
        <v>48037</v>
      </c>
      <c r="H196" s="1">
        <v>45121</v>
      </c>
      <c r="I196">
        <v>48037</v>
      </c>
      <c r="J196">
        <v>9607.4</v>
      </c>
    </row>
    <row r="197" spans="1:10" x14ac:dyDescent="0.3">
      <c r="A197">
        <v>1196</v>
      </c>
      <c r="B197" t="s">
        <v>18</v>
      </c>
      <c r="C197" t="s">
        <v>11</v>
      </c>
      <c r="D197" t="s">
        <v>19</v>
      </c>
      <c r="E197" t="s">
        <v>20</v>
      </c>
      <c r="F197">
        <v>3</v>
      </c>
      <c r="G197">
        <v>41600</v>
      </c>
      <c r="H197" s="1">
        <v>45122</v>
      </c>
      <c r="I197">
        <v>124800</v>
      </c>
      <c r="J197">
        <v>8320</v>
      </c>
    </row>
    <row r="198" spans="1:10" x14ac:dyDescent="0.3">
      <c r="A198">
        <v>1197</v>
      </c>
      <c r="B198" t="s">
        <v>21</v>
      </c>
      <c r="C198" t="s">
        <v>24</v>
      </c>
      <c r="D198" t="s">
        <v>16</v>
      </c>
      <c r="E198" t="s">
        <v>28</v>
      </c>
      <c r="F198">
        <v>2</v>
      </c>
      <c r="G198">
        <v>26280</v>
      </c>
      <c r="H198" s="1">
        <v>45123</v>
      </c>
      <c r="I198">
        <v>52560</v>
      </c>
      <c r="J198">
        <v>5256</v>
      </c>
    </row>
    <row r="199" spans="1:10" x14ac:dyDescent="0.3">
      <c r="A199">
        <v>1198</v>
      </c>
      <c r="B199" t="s">
        <v>14</v>
      </c>
      <c r="C199" t="s">
        <v>24</v>
      </c>
      <c r="D199" t="s">
        <v>19</v>
      </c>
      <c r="E199" t="s">
        <v>13</v>
      </c>
      <c r="F199">
        <v>2</v>
      </c>
      <c r="G199">
        <v>25557</v>
      </c>
      <c r="H199" s="1">
        <v>45124</v>
      </c>
      <c r="I199">
        <v>51114</v>
      </c>
      <c r="J199">
        <v>5111.4000000000015</v>
      </c>
    </row>
    <row r="200" spans="1:10" x14ac:dyDescent="0.3">
      <c r="A200">
        <v>1199</v>
      </c>
      <c r="B200" t="s">
        <v>32</v>
      </c>
      <c r="C200" t="s">
        <v>11</v>
      </c>
      <c r="D200" t="s">
        <v>19</v>
      </c>
      <c r="E200" t="s">
        <v>28</v>
      </c>
      <c r="F200">
        <v>6</v>
      </c>
      <c r="G200">
        <v>48054</v>
      </c>
      <c r="H200" s="1">
        <v>45125</v>
      </c>
      <c r="I200">
        <v>288324</v>
      </c>
      <c r="J200">
        <v>9610.8000000000011</v>
      </c>
    </row>
    <row r="201" spans="1:10" x14ac:dyDescent="0.3">
      <c r="A201">
        <v>1200</v>
      </c>
      <c r="B201" t="s">
        <v>30</v>
      </c>
      <c r="C201" t="s">
        <v>27</v>
      </c>
      <c r="D201" t="s">
        <v>16</v>
      </c>
      <c r="E201" t="s">
        <v>17</v>
      </c>
      <c r="F201">
        <v>1</v>
      </c>
      <c r="G201">
        <v>36400</v>
      </c>
      <c r="H201" s="1">
        <v>45126</v>
      </c>
      <c r="I201">
        <v>36400</v>
      </c>
      <c r="J201">
        <v>7280</v>
      </c>
    </row>
    <row r="202" spans="1:10" x14ac:dyDescent="0.3">
      <c r="A202">
        <v>1201</v>
      </c>
      <c r="B202" t="s">
        <v>30</v>
      </c>
      <c r="C202" t="s">
        <v>24</v>
      </c>
      <c r="D202" t="s">
        <v>19</v>
      </c>
      <c r="E202" t="s">
        <v>31</v>
      </c>
      <c r="F202">
        <v>2</v>
      </c>
      <c r="G202">
        <v>5494</v>
      </c>
      <c r="H202" s="1">
        <v>45127</v>
      </c>
      <c r="I202">
        <v>10988</v>
      </c>
      <c r="J202">
        <v>1098.8</v>
      </c>
    </row>
    <row r="203" spans="1:10" x14ac:dyDescent="0.3">
      <c r="A203">
        <v>1202</v>
      </c>
      <c r="B203" t="s">
        <v>34</v>
      </c>
      <c r="C203" t="s">
        <v>24</v>
      </c>
      <c r="D203" t="s">
        <v>16</v>
      </c>
      <c r="E203" t="s">
        <v>31</v>
      </c>
      <c r="F203">
        <v>6</v>
      </c>
      <c r="G203">
        <v>16152</v>
      </c>
      <c r="H203" s="1">
        <v>45128</v>
      </c>
      <c r="I203">
        <v>96912</v>
      </c>
      <c r="J203">
        <v>3230.4</v>
      </c>
    </row>
    <row r="204" spans="1:10" x14ac:dyDescent="0.3">
      <c r="A204">
        <v>1203</v>
      </c>
      <c r="B204" t="s">
        <v>35</v>
      </c>
      <c r="C204" t="s">
        <v>24</v>
      </c>
      <c r="D204" t="s">
        <v>19</v>
      </c>
      <c r="E204" t="s">
        <v>33</v>
      </c>
      <c r="F204">
        <v>3</v>
      </c>
      <c r="G204">
        <v>24895</v>
      </c>
      <c r="H204" s="1">
        <v>45129</v>
      </c>
      <c r="I204">
        <v>74685</v>
      </c>
      <c r="J204">
        <v>4979</v>
      </c>
    </row>
    <row r="205" spans="1:10" x14ac:dyDescent="0.3">
      <c r="A205">
        <v>1204</v>
      </c>
      <c r="B205" t="s">
        <v>30</v>
      </c>
      <c r="C205" t="s">
        <v>11</v>
      </c>
      <c r="D205" t="s">
        <v>16</v>
      </c>
      <c r="E205" t="s">
        <v>17</v>
      </c>
      <c r="F205">
        <v>4</v>
      </c>
      <c r="G205">
        <v>10155</v>
      </c>
      <c r="H205" s="1">
        <v>45130</v>
      </c>
      <c r="I205">
        <v>40620</v>
      </c>
      <c r="J205">
        <v>2031</v>
      </c>
    </row>
    <row r="206" spans="1:10" x14ac:dyDescent="0.3">
      <c r="A206">
        <v>1205</v>
      </c>
      <c r="B206" t="s">
        <v>26</v>
      </c>
      <c r="C206" t="s">
        <v>15</v>
      </c>
      <c r="D206" t="s">
        <v>19</v>
      </c>
      <c r="E206" t="s">
        <v>31</v>
      </c>
      <c r="F206">
        <v>1</v>
      </c>
      <c r="G206">
        <v>32883</v>
      </c>
      <c r="H206" s="1">
        <v>45131</v>
      </c>
      <c r="I206">
        <v>32883</v>
      </c>
      <c r="J206">
        <v>6576.6</v>
      </c>
    </row>
    <row r="207" spans="1:10" x14ac:dyDescent="0.3">
      <c r="A207">
        <v>1206</v>
      </c>
      <c r="B207" t="s">
        <v>14</v>
      </c>
      <c r="C207" t="s">
        <v>24</v>
      </c>
      <c r="D207" t="s">
        <v>19</v>
      </c>
      <c r="E207" t="s">
        <v>17</v>
      </c>
      <c r="F207">
        <v>8</v>
      </c>
      <c r="G207">
        <v>44194</v>
      </c>
      <c r="H207" s="1">
        <v>45132</v>
      </c>
      <c r="I207">
        <v>353552</v>
      </c>
      <c r="J207">
        <v>8838.8000000000011</v>
      </c>
    </row>
    <row r="208" spans="1:10" x14ac:dyDescent="0.3">
      <c r="A208">
        <v>1207</v>
      </c>
      <c r="B208" t="s">
        <v>14</v>
      </c>
      <c r="C208" t="s">
        <v>15</v>
      </c>
      <c r="D208" t="s">
        <v>22</v>
      </c>
      <c r="E208" t="s">
        <v>13</v>
      </c>
      <c r="F208">
        <v>7</v>
      </c>
      <c r="G208">
        <v>44001</v>
      </c>
      <c r="H208" s="1">
        <v>45133</v>
      </c>
      <c r="I208">
        <v>308007</v>
      </c>
      <c r="J208">
        <v>8800.2000000000007</v>
      </c>
    </row>
    <row r="209" spans="1:10" x14ac:dyDescent="0.3">
      <c r="A209">
        <v>1208</v>
      </c>
      <c r="B209" t="s">
        <v>26</v>
      </c>
      <c r="C209" t="s">
        <v>27</v>
      </c>
      <c r="D209" t="s">
        <v>22</v>
      </c>
      <c r="E209" t="s">
        <v>29</v>
      </c>
      <c r="F209">
        <v>7</v>
      </c>
      <c r="G209">
        <v>2828</v>
      </c>
      <c r="H209" s="1">
        <v>45134</v>
      </c>
      <c r="I209">
        <v>19796</v>
      </c>
      <c r="J209">
        <v>565.6</v>
      </c>
    </row>
    <row r="210" spans="1:10" x14ac:dyDescent="0.3">
      <c r="A210">
        <v>1209</v>
      </c>
      <c r="B210" t="s">
        <v>25</v>
      </c>
      <c r="C210" t="s">
        <v>24</v>
      </c>
      <c r="D210" t="s">
        <v>19</v>
      </c>
      <c r="E210" t="s">
        <v>31</v>
      </c>
      <c r="F210">
        <v>3</v>
      </c>
      <c r="G210">
        <v>46028</v>
      </c>
      <c r="H210" s="1">
        <v>45135</v>
      </c>
      <c r="I210">
        <v>138084</v>
      </c>
      <c r="J210">
        <v>9205.6</v>
      </c>
    </row>
    <row r="211" spans="1:10" x14ac:dyDescent="0.3">
      <c r="A211">
        <v>1210</v>
      </c>
      <c r="B211" t="s">
        <v>26</v>
      </c>
      <c r="C211" t="s">
        <v>24</v>
      </c>
      <c r="D211" t="s">
        <v>19</v>
      </c>
      <c r="E211" t="s">
        <v>33</v>
      </c>
      <c r="F211">
        <v>3</v>
      </c>
      <c r="G211">
        <v>42898</v>
      </c>
      <c r="H211" s="1">
        <v>45136</v>
      </c>
      <c r="I211">
        <v>128694</v>
      </c>
      <c r="J211">
        <v>8579.6</v>
      </c>
    </row>
    <row r="212" spans="1:10" x14ac:dyDescent="0.3">
      <c r="A212">
        <v>1211</v>
      </c>
      <c r="B212" t="s">
        <v>26</v>
      </c>
      <c r="C212" t="s">
        <v>27</v>
      </c>
      <c r="D212" t="s">
        <v>12</v>
      </c>
      <c r="E212" t="s">
        <v>13</v>
      </c>
      <c r="F212">
        <v>2</v>
      </c>
      <c r="G212">
        <v>33123</v>
      </c>
      <c r="H212" s="1">
        <v>45137</v>
      </c>
      <c r="I212">
        <v>66246</v>
      </c>
      <c r="J212">
        <v>6624.6</v>
      </c>
    </row>
    <row r="213" spans="1:10" x14ac:dyDescent="0.3">
      <c r="A213">
        <v>1212</v>
      </c>
      <c r="B213" t="s">
        <v>14</v>
      </c>
      <c r="C213" t="s">
        <v>24</v>
      </c>
      <c r="D213" t="s">
        <v>16</v>
      </c>
      <c r="E213" t="s">
        <v>20</v>
      </c>
      <c r="F213">
        <v>1</v>
      </c>
      <c r="G213">
        <v>38573</v>
      </c>
      <c r="H213" s="1">
        <v>45138</v>
      </c>
      <c r="I213">
        <v>38573</v>
      </c>
      <c r="J213">
        <v>7714.6</v>
      </c>
    </row>
    <row r="214" spans="1:10" x14ac:dyDescent="0.3">
      <c r="A214">
        <v>1213</v>
      </c>
      <c r="B214" t="s">
        <v>10</v>
      </c>
      <c r="C214" t="s">
        <v>15</v>
      </c>
      <c r="D214" t="s">
        <v>12</v>
      </c>
      <c r="E214" t="s">
        <v>17</v>
      </c>
      <c r="F214">
        <v>7</v>
      </c>
      <c r="G214">
        <v>1806</v>
      </c>
      <c r="H214" s="1">
        <v>45139</v>
      </c>
      <c r="I214">
        <v>12642</v>
      </c>
      <c r="J214">
        <v>361.20000000000005</v>
      </c>
    </row>
    <row r="215" spans="1:10" x14ac:dyDescent="0.3">
      <c r="A215">
        <v>1214</v>
      </c>
      <c r="B215" t="s">
        <v>14</v>
      </c>
      <c r="C215" t="s">
        <v>11</v>
      </c>
      <c r="D215" t="s">
        <v>22</v>
      </c>
      <c r="E215" t="s">
        <v>20</v>
      </c>
      <c r="F215">
        <v>7</v>
      </c>
      <c r="G215">
        <v>41970</v>
      </c>
      <c r="H215" s="1">
        <v>45140</v>
      </c>
      <c r="I215">
        <v>293790</v>
      </c>
      <c r="J215">
        <v>8394</v>
      </c>
    </row>
    <row r="216" spans="1:10" x14ac:dyDescent="0.3">
      <c r="A216">
        <v>1215</v>
      </c>
      <c r="B216" t="s">
        <v>35</v>
      </c>
      <c r="C216" t="s">
        <v>15</v>
      </c>
      <c r="D216" t="s">
        <v>22</v>
      </c>
      <c r="E216" t="s">
        <v>28</v>
      </c>
      <c r="F216">
        <v>2</v>
      </c>
      <c r="G216">
        <v>30757</v>
      </c>
      <c r="H216" s="1">
        <v>45141</v>
      </c>
      <c r="I216">
        <v>61514</v>
      </c>
      <c r="J216">
        <v>6151.4000000000015</v>
      </c>
    </row>
    <row r="217" spans="1:10" x14ac:dyDescent="0.3">
      <c r="A217">
        <v>1216</v>
      </c>
      <c r="B217" t="s">
        <v>34</v>
      </c>
      <c r="C217" t="s">
        <v>11</v>
      </c>
      <c r="D217" t="s">
        <v>22</v>
      </c>
      <c r="E217" t="s">
        <v>13</v>
      </c>
      <c r="F217">
        <v>7</v>
      </c>
      <c r="G217">
        <v>35636</v>
      </c>
      <c r="H217" s="1">
        <v>45142</v>
      </c>
      <c r="I217">
        <v>249452</v>
      </c>
      <c r="J217">
        <v>7127.2000000000007</v>
      </c>
    </row>
    <row r="218" spans="1:10" x14ac:dyDescent="0.3">
      <c r="A218">
        <v>1217</v>
      </c>
      <c r="B218" t="s">
        <v>18</v>
      </c>
      <c r="C218" t="s">
        <v>11</v>
      </c>
      <c r="D218" t="s">
        <v>22</v>
      </c>
      <c r="E218" t="s">
        <v>20</v>
      </c>
      <c r="F218">
        <v>8</v>
      </c>
      <c r="G218">
        <v>15561</v>
      </c>
      <c r="H218" s="1">
        <v>45143</v>
      </c>
      <c r="I218">
        <v>124488</v>
      </c>
      <c r="J218">
        <v>3112.2000000000003</v>
      </c>
    </row>
    <row r="219" spans="1:10" x14ac:dyDescent="0.3">
      <c r="A219">
        <v>1218</v>
      </c>
      <c r="B219" t="s">
        <v>10</v>
      </c>
      <c r="C219" t="s">
        <v>15</v>
      </c>
      <c r="D219" t="s">
        <v>19</v>
      </c>
      <c r="E219" t="s">
        <v>23</v>
      </c>
      <c r="F219">
        <v>1</v>
      </c>
      <c r="G219">
        <v>49280</v>
      </c>
      <c r="H219" s="1">
        <v>45144</v>
      </c>
      <c r="I219">
        <v>49280</v>
      </c>
      <c r="J219">
        <v>9856</v>
      </c>
    </row>
    <row r="220" spans="1:10" x14ac:dyDescent="0.3">
      <c r="A220">
        <v>1219</v>
      </c>
      <c r="B220" t="s">
        <v>32</v>
      </c>
      <c r="C220" t="s">
        <v>15</v>
      </c>
      <c r="D220" t="s">
        <v>22</v>
      </c>
      <c r="E220" t="s">
        <v>23</v>
      </c>
      <c r="F220">
        <v>9</v>
      </c>
      <c r="G220">
        <v>25262</v>
      </c>
      <c r="H220" s="1">
        <v>45145</v>
      </c>
      <c r="I220">
        <v>227358</v>
      </c>
      <c r="J220">
        <v>5052.4000000000015</v>
      </c>
    </row>
    <row r="221" spans="1:10" x14ac:dyDescent="0.3">
      <c r="A221">
        <v>1220</v>
      </c>
      <c r="B221" t="s">
        <v>18</v>
      </c>
      <c r="C221" t="s">
        <v>15</v>
      </c>
      <c r="D221" t="s">
        <v>19</v>
      </c>
      <c r="E221" t="s">
        <v>31</v>
      </c>
      <c r="F221">
        <v>7</v>
      </c>
      <c r="G221">
        <v>15899</v>
      </c>
      <c r="H221" s="1">
        <v>45146</v>
      </c>
      <c r="I221">
        <v>111293</v>
      </c>
      <c r="J221">
        <v>3179.8</v>
      </c>
    </row>
    <row r="222" spans="1:10" x14ac:dyDescent="0.3">
      <c r="A222">
        <v>1221</v>
      </c>
      <c r="B222" t="s">
        <v>34</v>
      </c>
      <c r="C222" t="s">
        <v>15</v>
      </c>
      <c r="D222" t="s">
        <v>19</v>
      </c>
      <c r="E222" t="s">
        <v>17</v>
      </c>
      <c r="F222">
        <v>3</v>
      </c>
      <c r="G222">
        <v>49988</v>
      </c>
      <c r="H222" s="1">
        <v>45147</v>
      </c>
      <c r="I222">
        <v>149964</v>
      </c>
      <c r="J222">
        <v>9997.6</v>
      </c>
    </row>
    <row r="223" spans="1:10" x14ac:dyDescent="0.3">
      <c r="A223">
        <v>1222</v>
      </c>
      <c r="B223" t="s">
        <v>35</v>
      </c>
      <c r="C223" t="s">
        <v>27</v>
      </c>
      <c r="D223" t="s">
        <v>22</v>
      </c>
      <c r="E223" t="s">
        <v>29</v>
      </c>
      <c r="F223">
        <v>8</v>
      </c>
      <c r="G223">
        <v>16934</v>
      </c>
      <c r="H223" s="1">
        <v>45148</v>
      </c>
      <c r="I223">
        <v>135472</v>
      </c>
      <c r="J223">
        <v>3386.8</v>
      </c>
    </row>
    <row r="224" spans="1:10" x14ac:dyDescent="0.3">
      <c r="A224">
        <v>1223</v>
      </c>
      <c r="B224" t="s">
        <v>35</v>
      </c>
      <c r="C224" t="s">
        <v>24</v>
      </c>
      <c r="D224" t="s">
        <v>22</v>
      </c>
      <c r="E224" t="s">
        <v>13</v>
      </c>
      <c r="F224">
        <v>7</v>
      </c>
      <c r="G224">
        <v>39197</v>
      </c>
      <c r="H224" s="1">
        <v>45149</v>
      </c>
      <c r="I224">
        <v>274379</v>
      </c>
      <c r="J224">
        <v>7839.4000000000015</v>
      </c>
    </row>
    <row r="225" spans="1:10" x14ac:dyDescent="0.3">
      <c r="A225">
        <v>1224</v>
      </c>
      <c r="B225" t="s">
        <v>32</v>
      </c>
      <c r="C225" t="s">
        <v>11</v>
      </c>
      <c r="D225" t="s">
        <v>16</v>
      </c>
      <c r="E225" t="s">
        <v>31</v>
      </c>
      <c r="F225">
        <v>8</v>
      </c>
      <c r="G225">
        <v>42844</v>
      </c>
      <c r="H225" s="1">
        <v>45150</v>
      </c>
      <c r="I225">
        <v>342752</v>
      </c>
      <c r="J225">
        <v>8568.8000000000011</v>
      </c>
    </row>
    <row r="226" spans="1:10" x14ac:dyDescent="0.3">
      <c r="A226">
        <v>1225</v>
      </c>
      <c r="B226" t="s">
        <v>10</v>
      </c>
      <c r="C226" t="s">
        <v>15</v>
      </c>
      <c r="D226" t="s">
        <v>12</v>
      </c>
      <c r="E226" t="s">
        <v>33</v>
      </c>
      <c r="F226">
        <v>6</v>
      </c>
      <c r="G226">
        <v>37332</v>
      </c>
      <c r="H226" s="1">
        <v>45151</v>
      </c>
      <c r="I226">
        <v>223992</v>
      </c>
      <c r="J226">
        <v>7466.4000000000015</v>
      </c>
    </row>
    <row r="227" spans="1:10" x14ac:dyDescent="0.3">
      <c r="A227">
        <v>1226</v>
      </c>
      <c r="B227" t="s">
        <v>25</v>
      </c>
      <c r="C227" t="s">
        <v>15</v>
      </c>
      <c r="D227" t="s">
        <v>22</v>
      </c>
      <c r="E227" t="s">
        <v>28</v>
      </c>
      <c r="F227">
        <v>9</v>
      </c>
      <c r="G227">
        <v>35157</v>
      </c>
      <c r="H227" s="1">
        <v>45152</v>
      </c>
      <c r="I227">
        <v>316413</v>
      </c>
      <c r="J227">
        <v>7031.4000000000015</v>
      </c>
    </row>
    <row r="228" spans="1:10" x14ac:dyDescent="0.3">
      <c r="A228">
        <v>1227</v>
      </c>
      <c r="B228" t="s">
        <v>26</v>
      </c>
      <c r="C228" t="s">
        <v>15</v>
      </c>
      <c r="D228" t="s">
        <v>16</v>
      </c>
      <c r="E228" t="s">
        <v>17</v>
      </c>
      <c r="F228">
        <v>5</v>
      </c>
      <c r="G228">
        <v>12593</v>
      </c>
      <c r="H228" s="1">
        <v>45153</v>
      </c>
      <c r="I228">
        <v>62965</v>
      </c>
      <c r="J228">
        <v>2518.6000000000004</v>
      </c>
    </row>
    <row r="229" spans="1:10" x14ac:dyDescent="0.3">
      <c r="A229">
        <v>1228</v>
      </c>
      <c r="B229" t="s">
        <v>10</v>
      </c>
      <c r="C229" t="s">
        <v>27</v>
      </c>
      <c r="D229" t="s">
        <v>16</v>
      </c>
      <c r="E229" t="s">
        <v>13</v>
      </c>
      <c r="F229">
        <v>3</v>
      </c>
      <c r="G229">
        <v>41042</v>
      </c>
      <c r="H229" s="1">
        <v>45154</v>
      </c>
      <c r="I229">
        <v>123126</v>
      </c>
      <c r="J229">
        <v>8208.4</v>
      </c>
    </row>
    <row r="230" spans="1:10" x14ac:dyDescent="0.3">
      <c r="A230">
        <v>1229</v>
      </c>
      <c r="B230" t="s">
        <v>25</v>
      </c>
      <c r="C230" t="s">
        <v>15</v>
      </c>
      <c r="D230" t="s">
        <v>12</v>
      </c>
      <c r="E230" t="s">
        <v>23</v>
      </c>
      <c r="F230">
        <v>3</v>
      </c>
      <c r="G230">
        <v>18320</v>
      </c>
      <c r="H230" s="1">
        <v>45155</v>
      </c>
      <c r="I230">
        <v>54960</v>
      </c>
      <c r="J230">
        <v>3664</v>
      </c>
    </row>
    <row r="231" spans="1:10" x14ac:dyDescent="0.3">
      <c r="A231">
        <v>1230</v>
      </c>
      <c r="B231" t="s">
        <v>35</v>
      </c>
      <c r="C231" t="s">
        <v>15</v>
      </c>
      <c r="D231" t="s">
        <v>19</v>
      </c>
      <c r="E231" t="s">
        <v>13</v>
      </c>
      <c r="F231">
        <v>1</v>
      </c>
      <c r="G231">
        <v>28376</v>
      </c>
      <c r="H231" s="1">
        <v>45156</v>
      </c>
      <c r="I231">
        <v>28376</v>
      </c>
      <c r="J231">
        <v>5675.2000000000007</v>
      </c>
    </row>
    <row r="232" spans="1:10" x14ac:dyDescent="0.3">
      <c r="A232">
        <v>1231</v>
      </c>
      <c r="B232" t="s">
        <v>14</v>
      </c>
      <c r="C232" t="s">
        <v>15</v>
      </c>
      <c r="D232" t="s">
        <v>22</v>
      </c>
      <c r="E232" t="s">
        <v>29</v>
      </c>
      <c r="F232">
        <v>8</v>
      </c>
      <c r="G232">
        <v>44513</v>
      </c>
      <c r="H232" s="1">
        <v>45157</v>
      </c>
      <c r="I232">
        <v>356104</v>
      </c>
      <c r="J232">
        <v>8902.6</v>
      </c>
    </row>
    <row r="233" spans="1:10" x14ac:dyDescent="0.3">
      <c r="A233">
        <v>1232</v>
      </c>
      <c r="B233" t="s">
        <v>34</v>
      </c>
      <c r="C233" t="s">
        <v>24</v>
      </c>
      <c r="D233" t="s">
        <v>12</v>
      </c>
      <c r="E233" t="s">
        <v>23</v>
      </c>
      <c r="F233">
        <v>2</v>
      </c>
      <c r="G233">
        <v>15199</v>
      </c>
      <c r="H233" s="1">
        <v>45158</v>
      </c>
      <c r="I233">
        <v>30398</v>
      </c>
      <c r="J233">
        <v>3039.8</v>
      </c>
    </row>
    <row r="234" spans="1:10" x14ac:dyDescent="0.3">
      <c r="A234">
        <v>1233</v>
      </c>
      <c r="B234" t="s">
        <v>32</v>
      </c>
      <c r="C234" t="s">
        <v>27</v>
      </c>
      <c r="D234" t="s">
        <v>22</v>
      </c>
      <c r="E234" t="s">
        <v>29</v>
      </c>
      <c r="F234">
        <v>3</v>
      </c>
      <c r="G234">
        <v>16876</v>
      </c>
      <c r="H234" s="1">
        <v>45159</v>
      </c>
      <c r="I234">
        <v>50628</v>
      </c>
      <c r="J234">
        <v>3375.2000000000003</v>
      </c>
    </row>
    <row r="235" spans="1:10" x14ac:dyDescent="0.3">
      <c r="A235">
        <v>1234</v>
      </c>
      <c r="B235" t="s">
        <v>34</v>
      </c>
      <c r="C235" t="s">
        <v>15</v>
      </c>
      <c r="D235" t="s">
        <v>16</v>
      </c>
      <c r="E235" t="s">
        <v>33</v>
      </c>
      <c r="F235">
        <v>8</v>
      </c>
      <c r="G235">
        <v>9245</v>
      </c>
      <c r="H235" s="1">
        <v>45160</v>
      </c>
      <c r="I235">
        <v>73960</v>
      </c>
      <c r="J235">
        <v>1849</v>
      </c>
    </row>
    <row r="236" spans="1:10" x14ac:dyDescent="0.3">
      <c r="A236">
        <v>1235</v>
      </c>
      <c r="B236" t="s">
        <v>21</v>
      </c>
      <c r="C236" t="s">
        <v>11</v>
      </c>
      <c r="D236" t="s">
        <v>16</v>
      </c>
      <c r="E236" t="s">
        <v>28</v>
      </c>
      <c r="F236">
        <v>8</v>
      </c>
      <c r="G236">
        <v>8214</v>
      </c>
      <c r="H236" s="1">
        <v>45161</v>
      </c>
      <c r="I236">
        <v>65712</v>
      </c>
      <c r="J236">
        <v>1642.8000000000002</v>
      </c>
    </row>
    <row r="237" spans="1:10" x14ac:dyDescent="0.3">
      <c r="A237">
        <v>1236</v>
      </c>
      <c r="B237" t="s">
        <v>21</v>
      </c>
      <c r="C237" t="s">
        <v>11</v>
      </c>
      <c r="D237" t="s">
        <v>19</v>
      </c>
      <c r="E237" t="s">
        <v>33</v>
      </c>
      <c r="F237">
        <v>4</v>
      </c>
      <c r="G237">
        <v>1726</v>
      </c>
      <c r="H237" s="1">
        <v>45162</v>
      </c>
      <c r="I237">
        <v>6904</v>
      </c>
      <c r="J237">
        <v>345.20000000000005</v>
      </c>
    </row>
    <row r="238" spans="1:10" x14ac:dyDescent="0.3">
      <c r="A238">
        <v>1237</v>
      </c>
      <c r="B238" t="s">
        <v>10</v>
      </c>
      <c r="C238" t="s">
        <v>11</v>
      </c>
      <c r="D238" t="s">
        <v>16</v>
      </c>
      <c r="E238" t="s">
        <v>31</v>
      </c>
      <c r="F238">
        <v>4</v>
      </c>
      <c r="G238">
        <v>47600</v>
      </c>
      <c r="H238" s="1">
        <v>45163</v>
      </c>
      <c r="I238">
        <v>190400</v>
      </c>
      <c r="J238">
        <v>9520</v>
      </c>
    </row>
    <row r="239" spans="1:10" x14ac:dyDescent="0.3">
      <c r="A239">
        <v>1238</v>
      </c>
      <c r="B239" t="s">
        <v>35</v>
      </c>
      <c r="C239" t="s">
        <v>27</v>
      </c>
      <c r="D239" t="s">
        <v>16</v>
      </c>
      <c r="E239" t="s">
        <v>31</v>
      </c>
      <c r="F239">
        <v>5</v>
      </c>
      <c r="G239">
        <v>12362</v>
      </c>
      <c r="H239" s="1">
        <v>45164</v>
      </c>
      <c r="I239">
        <v>61810</v>
      </c>
      <c r="J239">
        <v>2472.4</v>
      </c>
    </row>
    <row r="240" spans="1:10" x14ac:dyDescent="0.3">
      <c r="A240">
        <v>1239</v>
      </c>
      <c r="B240" t="s">
        <v>35</v>
      </c>
      <c r="C240" t="s">
        <v>27</v>
      </c>
      <c r="D240" t="s">
        <v>12</v>
      </c>
      <c r="E240" t="s">
        <v>33</v>
      </c>
      <c r="F240">
        <v>6</v>
      </c>
      <c r="G240">
        <v>19297</v>
      </c>
      <c r="H240" s="1">
        <v>45165</v>
      </c>
      <c r="I240">
        <v>115782</v>
      </c>
      <c r="J240">
        <v>3859.4</v>
      </c>
    </row>
    <row r="241" spans="1:10" x14ac:dyDescent="0.3">
      <c r="A241">
        <v>1240</v>
      </c>
      <c r="B241" t="s">
        <v>26</v>
      </c>
      <c r="C241" t="s">
        <v>11</v>
      </c>
      <c r="D241" t="s">
        <v>22</v>
      </c>
      <c r="E241" t="s">
        <v>28</v>
      </c>
      <c r="F241">
        <v>5</v>
      </c>
      <c r="G241">
        <v>31448</v>
      </c>
      <c r="H241" s="1">
        <v>45166</v>
      </c>
      <c r="I241">
        <v>157240</v>
      </c>
      <c r="J241">
        <v>6289.6</v>
      </c>
    </row>
    <row r="242" spans="1:10" x14ac:dyDescent="0.3">
      <c r="A242">
        <v>1241</v>
      </c>
      <c r="B242" t="s">
        <v>26</v>
      </c>
      <c r="C242" t="s">
        <v>15</v>
      </c>
      <c r="D242" t="s">
        <v>22</v>
      </c>
      <c r="E242" t="s">
        <v>33</v>
      </c>
      <c r="F242">
        <v>7</v>
      </c>
      <c r="G242">
        <v>27172</v>
      </c>
      <c r="H242" s="1">
        <v>45167</v>
      </c>
      <c r="I242">
        <v>190204</v>
      </c>
      <c r="J242">
        <v>5434.4000000000015</v>
      </c>
    </row>
    <row r="243" spans="1:10" x14ac:dyDescent="0.3">
      <c r="A243">
        <v>1242</v>
      </c>
      <c r="B243" t="s">
        <v>26</v>
      </c>
      <c r="C243" t="s">
        <v>27</v>
      </c>
      <c r="D243" t="s">
        <v>12</v>
      </c>
      <c r="E243" t="s">
        <v>28</v>
      </c>
      <c r="F243">
        <v>2</v>
      </c>
      <c r="G243">
        <v>43874</v>
      </c>
      <c r="H243" s="1">
        <v>45168</v>
      </c>
      <c r="I243">
        <v>87748</v>
      </c>
      <c r="J243">
        <v>8774.8000000000011</v>
      </c>
    </row>
    <row r="244" spans="1:10" x14ac:dyDescent="0.3">
      <c r="A244">
        <v>1243</v>
      </c>
      <c r="B244" t="s">
        <v>14</v>
      </c>
      <c r="C244" t="s">
        <v>11</v>
      </c>
      <c r="D244" t="s">
        <v>19</v>
      </c>
      <c r="E244" t="s">
        <v>28</v>
      </c>
      <c r="F244">
        <v>7</v>
      </c>
      <c r="G244">
        <v>8657</v>
      </c>
      <c r="H244" s="1">
        <v>45169</v>
      </c>
      <c r="I244">
        <v>60599</v>
      </c>
      <c r="J244">
        <v>1731.4</v>
      </c>
    </row>
    <row r="245" spans="1:10" x14ac:dyDescent="0.3">
      <c r="A245">
        <v>1244</v>
      </c>
      <c r="B245" t="s">
        <v>18</v>
      </c>
      <c r="C245" t="s">
        <v>11</v>
      </c>
      <c r="D245" t="s">
        <v>22</v>
      </c>
      <c r="E245" t="s">
        <v>20</v>
      </c>
      <c r="F245">
        <v>7</v>
      </c>
      <c r="G245">
        <v>19850</v>
      </c>
      <c r="H245" s="1">
        <v>45170</v>
      </c>
      <c r="I245">
        <v>138950</v>
      </c>
      <c r="J245">
        <v>3970</v>
      </c>
    </row>
    <row r="246" spans="1:10" x14ac:dyDescent="0.3">
      <c r="A246">
        <v>1245</v>
      </c>
      <c r="B246" t="s">
        <v>30</v>
      </c>
      <c r="C246" t="s">
        <v>15</v>
      </c>
      <c r="D246" t="s">
        <v>16</v>
      </c>
      <c r="E246" t="s">
        <v>23</v>
      </c>
      <c r="F246">
        <v>1</v>
      </c>
      <c r="G246">
        <v>26425</v>
      </c>
      <c r="H246" s="1">
        <v>45171</v>
      </c>
      <c r="I246">
        <v>26425</v>
      </c>
      <c r="J246">
        <v>5285</v>
      </c>
    </row>
    <row r="247" spans="1:10" x14ac:dyDescent="0.3">
      <c r="A247">
        <v>1246</v>
      </c>
      <c r="B247" t="s">
        <v>18</v>
      </c>
      <c r="C247" t="s">
        <v>24</v>
      </c>
      <c r="D247" t="s">
        <v>22</v>
      </c>
      <c r="E247" t="s">
        <v>17</v>
      </c>
      <c r="F247">
        <v>7</v>
      </c>
      <c r="G247">
        <v>27685</v>
      </c>
      <c r="H247" s="1">
        <v>45172</v>
      </c>
      <c r="I247">
        <v>193795</v>
      </c>
      <c r="J247">
        <v>5537</v>
      </c>
    </row>
    <row r="248" spans="1:10" x14ac:dyDescent="0.3">
      <c r="A248">
        <v>1247</v>
      </c>
      <c r="B248" t="s">
        <v>34</v>
      </c>
      <c r="C248" t="s">
        <v>27</v>
      </c>
      <c r="D248" t="s">
        <v>16</v>
      </c>
      <c r="E248" t="s">
        <v>28</v>
      </c>
      <c r="F248">
        <v>5</v>
      </c>
      <c r="G248">
        <v>48319</v>
      </c>
      <c r="H248" s="1">
        <v>45173</v>
      </c>
      <c r="I248">
        <v>241595</v>
      </c>
      <c r="J248">
        <v>9663.8000000000011</v>
      </c>
    </row>
    <row r="249" spans="1:10" x14ac:dyDescent="0.3">
      <c r="A249">
        <v>1248</v>
      </c>
      <c r="B249" t="s">
        <v>18</v>
      </c>
      <c r="C249" t="s">
        <v>15</v>
      </c>
      <c r="D249" t="s">
        <v>19</v>
      </c>
      <c r="E249" t="s">
        <v>29</v>
      </c>
      <c r="F249">
        <v>3</v>
      </c>
      <c r="G249">
        <v>25578</v>
      </c>
      <c r="H249" s="1">
        <v>45174</v>
      </c>
      <c r="I249">
        <v>76734</v>
      </c>
      <c r="J249">
        <v>5115.6000000000004</v>
      </c>
    </row>
    <row r="250" spans="1:10" x14ac:dyDescent="0.3">
      <c r="A250">
        <v>1249</v>
      </c>
      <c r="B250" t="s">
        <v>14</v>
      </c>
      <c r="C250" t="s">
        <v>11</v>
      </c>
      <c r="D250" t="s">
        <v>12</v>
      </c>
      <c r="E250" t="s">
        <v>28</v>
      </c>
      <c r="F250">
        <v>3</v>
      </c>
      <c r="G250">
        <v>29831</v>
      </c>
      <c r="H250" s="1">
        <v>45175</v>
      </c>
      <c r="I250">
        <v>89493</v>
      </c>
      <c r="J250">
        <v>5966.2000000000007</v>
      </c>
    </row>
    <row r="251" spans="1:10" x14ac:dyDescent="0.3">
      <c r="A251">
        <v>1250</v>
      </c>
      <c r="B251" t="s">
        <v>34</v>
      </c>
      <c r="C251" t="s">
        <v>11</v>
      </c>
      <c r="D251" t="s">
        <v>22</v>
      </c>
      <c r="E251" t="s">
        <v>28</v>
      </c>
      <c r="F251">
        <v>4</v>
      </c>
      <c r="G251">
        <v>8906</v>
      </c>
      <c r="H251" s="1">
        <v>45176</v>
      </c>
      <c r="I251">
        <v>35624</v>
      </c>
      <c r="J251">
        <v>1781.2</v>
      </c>
    </row>
    <row r="252" spans="1:10" x14ac:dyDescent="0.3">
      <c r="A252">
        <v>1251</v>
      </c>
      <c r="B252" t="s">
        <v>18</v>
      </c>
      <c r="C252" t="s">
        <v>15</v>
      </c>
      <c r="D252" t="s">
        <v>12</v>
      </c>
      <c r="E252" t="s">
        <v>28</v>
      </c>
      <c r="F252">
        <v>2</v>
      </c>
      <c r="G252">
        <v>8287</v>
      </c>
      <c r="H252" s="1">
        <v>45177</v>
      </c>
      <c r="I252">
        <v>16574</v>
      </c>
      <c r="J252">
        <v>1657.4</v>
      </c>
    </row>
    <row r="253" spans="1:10" x14ac:dyDescent="0.3">
      <c r="A253">
        <v>1252</v>
      </c>
      <c r="B253" t="s">
        <v>14</v>
      </c>
      <c r="C253" t="s">
        <v>27</v>
      </c>
      <c r="D253" t="s">
        <v>22</v>
      </c>
      <c r="E253" t="s">
        <v>20</v>
      </c>
      <c r="F253">
        <v>2</v>
      </c>
      <c r="G253">
        <v>34660</v>
      </c>
      <c r="H253" s="1">
        <v>45178</v>
      </c>
      <c r="I253">
        <v>69320</v>
      </c>
      <c r="J253">
        <v>6932</v>
      </c>
    </row>
    <row r="254" spans="1:10" x14ac:dyDescent="0.3">
      <c r="A254">
        <v>1253</v>
      </c>
      <c r="B254" t="s">
        <v>30</v>
      </c>
      <c r="C254" t="s">
        <v>24</v>
      </c>
      <c r="D254" t="s">
        <v>16</v>
      </c>
      <c r="E254" t="s">
        <v>23</v>
      </c>
      <c r="F254">
        <v>1</v>
      </c>
      <c r="G254">
        <v>11222</v>
      </c>
      <c r="H254" s="1">
        <v>45179</v>
      </c>
      <c r="I254">
        <v>11222</v>
      </c>
      <c r="J254">
        <v>2244.4</v>
      </c>
    </row>
    <row r="255" spans="1:10" x14ac:dyDescent="0.3">
      <c r="A255">
        <v>1254</v>
      </c>
      <c r="B255" t="s">
        <v>18</v>
      </c>
      <c r="C255" t="s">
        <v>24</v>
      </c>
      <c r="D255" t="s">
        <v>12</v>
      </c>
      <c r="E255" t="s">
        <v>20</v>
      </c>
      <c r="F255">
        <v>5</v>
      </c>
      <c r="G255">
        <v>38443</v>
      </c>
      <c r="H255" s="1">
        <v>45180</v>
      </c>
      <c r="I255">
        <v>192215</v>
      </c>
      <c r="J255">
        <v>7688.6</v>
      </c>
    </row>
    <row r="256" spans="1:10" x14ac:dyDescent="0.3">
      <c r="A256">
        <v>1255</v>
      </c>
      <c r="B256" t="s">
        <v>14</v>
      </c>
      <c r="C256" t="s">
        <v>11</v>
      </c>
      <c r="D256" t="s">
        <v>22</v>
      </c>
      <c r="E256" t="s">
        <v>31</v>
      </c>
      <c r="F256">
        <v>4</v>
      </c>
      <c r="G256">
        <v>35701</v>
      </c>
      <c r="H256" s="1">
        <v>45181</v>
      </c>
      <c r="I256">
        <v>142804</v>
      </c>
      <c r="J256">
        <v>7140.2000000000007</v>
      </c>
    </row>
    <row r="257" spans="1:10" x14ac:dyDescent="0.3">
      <c r="A257">
        <v>1256</v>
      </c>
      <c r="B257" t="s">
        <v>26</v>
      </c>
      <c r="C257" t="s">
        <v>27</v>
      </c>
      <c r="D257" t="s">
        <v>16</v>
      </c>
      <c r="E257" t="s">
        <v>20</v>
      </c>
      <c r="F257">
        <v>2</v>
      </c>
      <c r="G257">
        <v>18764</v>
      </c>
      <c r="H257" s="1">
        <v>45182</v>
      </c>
      <c r="I257">
        <v>37528</v>
      </c>
      <c r="J257">
        <v>3752.8</v>
      </c>
    </row>
    <row r="258" spans="1:10" x14ac:dyDescent="0.3">
      <c r="A258">
        <v>1257</v>
      </c>
      <c r="B258" t="s">
        <v>35</v>
      </c>
      <c r="C258" t="s">
        <v>24</v>
      </c>
      <c r="D258" t="s">
        <v>12</v>
      </c>
      <c r="E258" t="s">
        <v>29</v>
      </c>
      <c r="F258">
        <v>3</v>
      </c>
      <c r="G258">
        <v>45641</v>
      </c>
      <c r="H258" s="1">
        <v>45183</v>
      </c>
      <c r="I258">
        <v>136923</v>
      </c>
      <c r="J258">
        <v>9128.2000000000007</v>
      </c>
    </row>
    <row r="259" spans="1:10" x14ac:dyDescent="0.3">
      <c r="A259">
        <v>1258</v>
      </c>
      <c r="B259" t="s">
        <v>26</v>
      </c>
      <c r="C259" t="s">
        <v>27</v>
      </c>
      <c r="D259" t="s">
        <v>12</v>
      </c>
      <c r="E259" t="s">
        <v>29</v>
      </c>
      <c r="F259">
        <v>7</v>
      </c>
      <c r="G259">
        <v>18674</v>
      </c>
      <c r="H259" s="1">
        <v>45184</v>
      </c>
      <c r="I259">
        <v>130718</v>
      </c>
      <c r="J259">
        <v>3734.8</v>
      </c>
    </row>
    <row r="260" spans="1:10" x14ac:dyDescent="0.3">
      <c r="A260">
        <v>1259</v>
      </c>
      <c r="B260" t="s">
        <v>35</v>
      </c>
      <c r="C260" t="s">
        <v>27</v>
      </c>
      <c r="D260" t="s">
        <v>22</v>
      </c>
      <c r="E260" t="s">
        <v>20</v>
      </c>
      <c r="F260">
        <v>7</v>
      </c>
      <c r="G260">
        <v>19024</v>
      </c>
      <c r="H260" s="1">
        <v>45185</v>
      </c>
      <c r="I260">
        <v>133168</v>
      </c>
      <c r="J260">
        <v>3804.8</v>
      </c>
    </row>
    <row r="261" spans="1:10" x14ac:dyDescent="0.3">
      <c r="A261">
        <v>1260</v>
      </c>
      <c r="B261" t="s">
        <v>32</v>
      </c>
      <c r="C261" t="s">
        <v>11</v>
      </c>
      <c r="D261" t="s">
        <v>22</v>
      </c>
      <c r="E261" t="s">
        <v>23</v>
      </c>
      <c r="F261">
        <v>4</v>
      </c>
      <c r="G261">
        <v>47007</v>
      </c>
      <c r="H261" s="1">
        <v>45186</v>
      </c>
      <c r="I261">
        <v>188028</v>
      </c>
      <c r="J261">
        <v>9401.4</v>
      </c>
    </row>
    <row r="262" spans="1:10" x14ac:dyDescent="0.3">
      <c r="A262">
        <v>1261</v>
      </c>
      <c r="B262" t="s">
        <v>32</v>
      </c>
      <c r="C262" t="s">
        <v>24</v>
      </c>
      <c r="D262" t="s">
        <v>22</v>
      </c>
      <c r="E262" t="s">
        <v>33</v>
      </c>
      <c r="F262">
        <v>5</v>
      </c>
      <c r="G262">
        <v>24874</v>
      </c>
      <c r="H262" s="1">
        <v>45187</v>
      </c>
      <c r="I262">
        <v>124370</v>
      </c>
      <c r="J262">
        <v>4974.8</v>
      </c>
    </row>
    <row r="263" spans="1:10" x14ac:dyDescent="0.3">
      <c r="A263">
        <v>1262</v>
      </c>
      <c r="B263" t="s">
        <v>32</v>
      </c>
      <c r="C263" t="s">
        <v>15</v>
      </c>
      <c r="D263" t="s">
        <v>16</v>
      </c>
      <c r="E263" t="s">
        <v>17</v>
      </c>
      <c r="F263">
        <v>5</v>
      </c>
      <c r="G263">
        <v>44642</v>
      </c>
      <c r="H263" s="1">
        <v>45188</v>
      </c>
      <c r="I263">
        <v>223210</v>
      </c>
      <c r="J263">
        <v>8928.4</v>
      </c>
    </row>
    <row r="264" spans="1:10" x14ac:dyDescent="0.3">
      <c r="A264">
        <v>1263</v>
      </c>
      <c r="B264" t="s">
        <v>30</v>
      </c>
      <c r="C264" t="s">
        <v>11</v>
      </c>
      <c r="D264" t="s">
        <v>22</v>
      </c>
      <c r="E264" t="s">
        <v>23</v>
      </c>
      <c r="F264">
        <v>6</v>
      </c>
      <c r="G264">
        <v>33284</v>
      </c>
      <c r="H264" s="1">
        <v>45189</v>
      </c>
      <c r="I264">
        <v>199704</v>
      </c>
      <c r="J264">
        <v>6656.8</v>
      </c>
    </row>
    <row r="265" spans="1:10" x14ac:dyDescent="0.3">
      <c r="A265">
        <v>1264</v>
      </c>
      <c r="B265" t="s">
        <v>26</v>
      </c>
      <c r="C265" t="s">
        <v>24</v>
      </c>
      <c r="D265" t="s">
        <v>12</v>
      </c>
      <c r="E265" t="s">
        <v>20</v>
      </c>
      <c r="F265">
        <v>9</v>
      </c>
      <c r="G265">
        <v>18602</v>
      </c>
      <c r="H265" s="1">
        <v>45190</v>
      </c>
      <c r="I265">
        <v>167418</v>
      </c>
      <c r="J265">
        <v>3720.4</v>
      </c>
    </row>
    <row r="266" spans="1:10" x14ac:dyDescent="0.3">
      <c r="A266">
        <v>1265</v>
      </c>
      <c r="B266" t="s">
        <v>35</v>
      </c>
      <c r="C266" t="s">
        <v>24</v>
      </c>
      <c r="D266" t="s">
        <v>12</v>
      </c>
      <c r="E266" t="s">
        <v>28</v>
      </c>
      <c r="F266">
        <v>2</v>
      </c>
      <c r="G266">
        <v>38784</v>
      </c>
      <c r="H266" s="1">
        <v>45191</v>
      </c>
      <c r="I266">
        <v>77568</v>
      </c>
      <c r="J266">
        <v>7756.8</v>
      </c>
    </row>
    <row r="267" spans="1:10" x14ac:dyDescent="0.3">
      <c r="A267">
        <v>1266</v>
      </c>
      <c r="B267" t="s">
        <v>14</v>
      </c>
      <c r="C267" t="s">
        <v>24</v>
      </c>
      <c r="D267" t="s">
        <v>22</v>
      </c>
      <c r="E267" t="s">
        <v>13</v>
      </c>
      <c r="F267">
        <v>5</v>
      </c>
      <c r="G267">
        <v>24265</v>
      </c>
      <c r="H267" s="1">
        <v>45192</v>
      </c>
      <c r="I267">
        <v>121325</v>
      </c>
      <c r="J267">
        <v>4853</v>
      </c>
    </row>
    <row r="268" spans="1:10" x14ac:dyDescent="0.3">
      <c r="A268">
        <v>1267</v>
      </c>
      <c r="B268" t="s">
        <v>34</v>
      </c>
      <c r="C268" t="s">
        <v>24</v>
      </c>
      <c r="D268" t="s">
        <v>22</v>
      </c>
      <c r="E268" t="s">
        <v>17</v>
      </c>
      <c r="F268">
        <v>3</v>
      </c>
      <c r="G268">
        <v>26931</v>
      </c>
      <c r="H268" s="1">
        <v>45193</v>
      </c>
      <c r="I268">
        <v>80793</v>
      </c>
      <c r="J268">
        <v>5386.2000000000007</v>
      </c>
    </row>
    <row r="269" spans="1:10" x14ac:dyDescent="0.3">
      <c r="A269">
        <v>1268</v>
      </c>
      <c r="B269" t="s">
        <v>14</v>
      </c>
      <c r="C269" t="s">
        <v>24</v>
      </c>
      <c r="D269" t="s">
        <v>19</v>
      </c>
      <c r="E269" t="s">
        <v>17</v>
      </c>
      <c r="F269">
        <v>4</v>
      </c>
      <c r="G269">
        <v>29841</v>
      </c>
      <c r="H269" s="1">
        <v>45194</v>
      </c>
      <c r="I269">
        <v>119364</v>
      </c>
      <c r="J269">
        <v>5968.2000000000007</v>
      </c>
    </row>
    <row r="270" spans="1:10" x14ac:dyDescent="0.3">
      <c r="A270">
        <v>1269</v>
      </c>
      <c r="B270" t="s">
        <v>34</v>
      </c>
      <c r="C270" t="s">
        <v>27</v>
      </c>
      <c r="D270" t="s">
        <v>12</v>
      </c>
      <c r="E270" t="s">
        <v>29</v>
      </c>
      <c r="F270">
        <v>6</v>
      </c>
      <c r="G270">
        <v>30192</v>
      </c>
      <c r="H270" s="1">
        <v>45195</v>
      </c>
      <c r="I270">
        <v>181152</v>
      </c>
      <c r="J270">
        <v>6038.4000000000015</v>
      </c>
    </row>
    <row r="271" spans="1:10" x14ac:dyDescent="0.3">
      <c r="A271">
        <v>1270</v>
      </c>
      <c r="B271" t="s">
        <v>21</v>
      </c>
      <c r="C271" t="s">
        <v>11</v>
      </c>
      <c r="D271" t="s">
        <v>16</v>
      </c>
      <c r="E271" t="s">
        <v>17</v>
      </c>
      <c r="F271">
        <v>8</v>
      </c>
      <c r="G271">
        <v>47542</v>
      </c>
      <c r="H271" s="1">
        <v>45196</v>
      </c>
      <c r="I271">
        <v>380336</v>
      </c>
      <c r="J271">
        <v>9508.4</v>
      </c>
    </row>
    <row r="272" spans="1:10" x14ac:dyDescent="0.3">
      <c r="A272">
        <v>1271</v>
      </c>
      <c r="B272" t="s">
        <v>14</v>
      </c>
      <c r="C272" t="s">
        <v>27</v>
      </c>
      <c r="D272" t="s">
        <v>19</v>
      </c>
      <c r="E272" t="s">
        <v>20</v>
      </c>
      <c r="F272">
        <v>1</v>
      </c>
      <c r="G272">
        <v>43520</v>
      </c>
      <c r="H272" s="1">
        <v>45197</v>
      </c>
      <c r="I272">
        <v>43520</v>
      </c>
      <c r="J272">
        <v>8704</v>
      </c>
    </row>
    <row r="273" spans="1:10" x14ac:dyDescent="0.3">
      <c r="A273">
        <v>1272</v>
      </c>
      <c r="B273" t="s">
        <v>18</v>
      </c>
      <c r="C273" t="s">
        <v>15</v>
      </c>
      <c r="D273" t="s">
        <v>22</v>
      </c>
      <c r="E273" t="s">
        <v>28</v>
      </c>
      <c r="F273">
        <v>8</v>
      </c>
      <c r="G273">
        <v>16585</v>
      </c>
      <c r="H273" s="1">
        <v>45198</v>
      </c>
      <c r="I273">
        <v>132680</v>
      </c>
      <c r="J273">
        <v>3317</v>
      </c>
    </row>
    <row r="274" spans="1:10" x14ac:dyDescent="0.3">
      <c r="A274">
        <v>1273</v>
      </c>
      <c r="B274" t="s">
        <v>18</v>
      </c>
      <c r="C274" t="s">
        <v>24</v>
      </c>
      <c r="D274" t="s">
        <v>22</v>
      </c>
      <c r="E274" t="s">
        <v>28</v>
      </c>
      <c r="F274">
        <v>7</v>
      </c>
      <c r="G274">
        <v>26559</v>
      </c>
      <c r="H274" s="1">
        <v>45199</v>
      </c>
      <c r="I274">
        <v>185913</v>
      </c>
      <c r="J274">
        <v>5311.8</v>
      </c>
    </row>
    <row r="275" spans="1:10" x14ac:dyDescent="0.3">
      <c r="A275">
        <v>1274</v>
      </c>
      <c r="B275" t="s">
        <v>10</v>
      </c>
      <c r="C275" t="s">
        <v>11</v>
      </c>
      <c r="D275" t="s">
        <v>12</v>
      </c>
      <c r="E275" t="s">
        <v>31</v>
      </c>
      <c r="F275">
        <v>1</v>
      </c>
      <c r="G275">
        <v>41059</v>
      </c>
      <c r="H275" s="1">
        <v>45200</v>
      </c>
      <c r="I275">
        <v>41059</v>
      </c>
      <c r="J275">
        <v>8211.8000000000011</v>
      </c>
    </row>
    <row r="276" spans="1:10" x14ac:dyDescent="0.3">
      <c r="A276">
        <v>1275</v>
      </c>
      <c r="B276" t="s">
        <v>26</v>
      </c>
      <c r="C276" t="s">
        <v>24</v>
      </c>
      <c r="D276" t="s">
        <v>22</v>
      </c>
      <c r="E276" t="s">
        <v>28</v>
      </c>
      <c r="F276">
        <v>2</v>
      </c>
      <c r="G276">
        <v>34742</v>
      </c>
      <c r="H276" s="1">
        <v>45201</v>
      </c>
      <c r="I276">
        <v>69484</v>
      </c>
      <c r="J276">
        <v>6948.4000000000015</v>
      </c>
    </row>
    <row r="277" spans="1:10" x14ac:dyDescent="0.3">
      <c r="A277">
        <v>1276</v>
      </c>
      <c r="B277" t="s">
        <v>34</v>
      </c>
      <c r="C277" t="s">
        <v>11</v>
      </c>
      <c r="D277" t="s">
        <v>16</v>
      </c>
      <c r="E277" t="s">
        <v>23</v>
      </c>
      <c r="F277">
        <v>3</v>
      </c>
      <c r="G277">
        <v>5133</v>
      </c>
      <c r="H277" s="1">
        <v>45202</v>
      </c>
      <c r="I277">
        <v>15399</v>
      </c>
      <c r="J277">
        <v>1026.6000000000001</v>
      </c>
    </row>
    <row r="278" spans="1:10" x14ac:dyDescent="0.3">
      <c r="A278">
        <v>1277</v>
      </c>
      <c r="B278" t="s">
        <v>34</v>
      </c>
      <c r="C278" t="s">
        <v>27</v>
      </c>
      <c r="D278" t="s">
        <v>12</v>
      </c>
      <c r="E278" t="s">
        <v>28</v>
      </c>
      <c r="F278">
        <v>1</v>
      </c>
      <c r="G278">
        <v>15663</v>
      </c>
      <c r="H278" s="1">
        <v>45203</v>
      </c>
      <c r="I278">
        <v>15663</v>
      </c>
      <c r="J278">
        <v>3132.6000000000004</v>
      </c>
    </row>
    <row r="279" spans="1:10" x14ac:dyDescent="0.3">
      <c r="A279">
        <v>1278</v>
      </c>
      <c r="B279" t="s">
        <v>26</v>
      </c>
      <c r="C279" t="s">
        <v>11</v>
      </c>
      <c r="D279" t="s">
        <v>22</v>
      </c>
      <c r="E279" t="s">
        <v>29</v>
      </c>
      <c r="F279">
        <v>9</v>
      </c>
      <c r="G279">
        <v>22754</v>
      </c>
      <c r="H279" s="1">
        <v>45204</v>
      </c>
      <c r="I279">
        <v>204786</v>
      </c>
      <c r="J279">
        <v>4550.8</v>
      </c>
    </row>
    <row r="280" spans="1:10" x14ac:dyDescent="0.3">
      <c r="A280">
        <v>1279</v>
      </c>
      <c r="B280" t="s">
        <v>30</v>
      </c>
      <c r="C280" t="s">
        <v>15</v>
      </c>
      <c r="D280" t="s">
        <v>12</v>
      </c>
      <c r="E280" t="s">
        <v>28</v>
      </c>
      <c r="F280">
        <v>8</v>
      </c>
      <c r="G280">
        <v>4972</v>
      </c>
      <c r="H280" s="1">
        <v>45205</v>
      </c>
      <c r="I280">
        <v>39776</v>
      </c>
      <c r="J280">
        <v>994.40000000000009</v>
      </c>
    </row>
    <row r="281" spans="1:10" x14ac:dyDescent="0.3">
      <c r="A281">
        <v>1280</v>
      </c>
      <c r="B281" t="s">
        <v>10</v>
      </c>
      <c r="C281" t="s">
        <v>15</v>
      </c>
      <c r="D281" t="s">
        <v>22</v>
      </c>
      <c r="E281" t="s">
        <v>31</v>
      </c>
      <c r="F281">
        <v>2</v>
      </c>
      <c r="G281">
        <v>6295</v>
      </c>
      <c r="H281" s="1">
        <v>45206</v>
      </c>
      <c r="I281">
        <v>12590</v>
      </c>
      <c r="J281">
        <v>1259</v>
      </c>
    </row>
    <row r="282" spans="1:10" x14ac:dyDescent="0.3">
      <c r="A282">
        <v>1281</v>
      </c>
      <c r="B282" t="s">
        <v>30</v>
      </c>
      <c r="C282" t="s">
        <v>11</v>
      </c>
      <c r="D282" t="s">
        <v>22</v>
      </c>
      <c r="E282" t="s">
        <v>13</v>
      </c>
      <c r="F282">
        <v>9</v>
      </c>
      <c r="G282">
        <v>47681</v>
      </c>
      <c r="H282" s="1">
        <v>45207</v>
      </c>
      <c r="I282">
        <v>429129</v>
      </c>
      <c r="J282">
        <v>9536.2000000000007</v>
      </c>
    </row>
    <row r="283" spans="1:10" x14ac:dyDescent="0.3">
      <c r="A283">
        <v>1282</v>
      </c>
      <c r="B283" t="s">
        <v>30</v>
      </c>
      <c r="C283" t="s">
        <v>11</v>
      </c>
      <c r="D283" t="s">
        <v>22</v>
      </c>
      <c r="E283" t="s">
        <v>20</v>
      </c>
      <c r="F283">
        <v>7</v>
      </c>
      <c r="G283">
        <v>42873</v>
      </c>
      <c r="H283" s="1">
        <v>45208</v>
      </c>
      <c r="I283">
        <v>300111</v>
      </c>
      <c r="J283">
        <v>8574.6</v>
      </c>
    </row>
    <row r="284" spans="1:10" x14ac:dyDescent="0.3">
      <c r="A284">
        <v>1283</v>
      </c>
      <c r="B284" t="s">
        <v>30</v>
      </c>
      <c r="C284" t="s">
        <v>11</v>
      </c>
      <c r="D284" t="s">
        <v>16</v>
      </c>
      <c r="E284" t="s">
        <v>29</v>
      </c>
      <c r="F284">
        <v>9</v>
      </c>
      <c r="G284">
        <v>30125</v>
      </c>
      <c r="H284" s="1">
        <v>45209</v>
      </c>
      <c r="I284">
        <v>271125</v>
      </c>
      <c r="J284">
        <v>6025</v>
      </c>
    </row>
    <row r="285" spans="1:10" x14ac:dyDescent="0.3">
      <c r="A285">
        <v>1284</v>
      </c>
      <c r="B285" t="s">
        <v>26</v>
      </c>
      <c r="C285" t="s">
        <v>11</v>
      </c>
      <c r="D285" t="s">
        <v>16</v>
      </c>
      <c r="E285" t="s">
        <v>23</v>
      </c>
      <c r="F285">
        <v>6</v>
      </c>
      <c r="G285">
        <v>41996</v>
      </c>
      <c r="H285" s="1">
        <v>45210</v>
      </c>
      <c r="I285">
        <v>251976</v>
      </c>
      <c r="J285">
        <v>8399.2000000000007</v>
      </c>
    </row>
    <row r="286" spans="1:10" x14ac:dyDescent="0.3">
      <c r="A286">
        <v>1285</v>
      </c>
      <c r="B286" t="s">
        <v>30</v>
      </c>
      <c r="C286" t="s">
        <v>15</v>
      </c>
      <c r="D286" t="s">
        <v>12</v>
      </c>
      <c r="E286" t="s">
        <v>13</v>
      </c>
      <c r="F286">
        <v>6</v>
      </c>
      <c r="G286">
        <v>10903</v>
      </c>
      <c r="H286" s="1">
        <v>45211</v>
      </c>
      <c r="I286">
        <v>65418</v>
      </c>
      <c r="J286">
        <v>2180.6</v>
      </c>
    </row>
    <row r="287" spans="1:10" x14ac:dyDescent="0.3">
      <c r="A287">
        <v>1286</v>
      </c>
      <c r="B287" t="s">
        <v>18</v>
      </c>
      <c r="C287" t="s">
        <v>24</v>
      </c>
      <c r="D287" t="s">
        <v>22</v>
      </c>
      <c r="E287" t="s">
        <v>29</v>
      </c>
      <c r="F287">
        <v>4</v>
      </c>
      <c r="G287">
        <v>4020</v>
      </c>
      <c r="H287" s="1">
        <v>45212</v>
      </c>
      <c r="I287">
        <v>16080</v>
      </c>
      <c r="J287">
        <v>804</v>
      </c>
    </row>
    <row r="288" spans="1:10" x14ac:dyDescent="0.3">
      <c r="A288">
        <v>1287</v>
      </c>
      <c r="B288" t="s">
        <v>32</v>
      </c>
      <c r="C288" t="s">
        <v>11</v>
      </c>
      <c r="D288" t="s">
        <v>22</v>
      </c>
      <c r="E288" t="s">
        <v>33</v>
      </c>
      <c r="F288">
        <v>2</v>
      </c>
      <c r="G288">
        <v>42755</v>
      </c>
      <c r="H288" s="1">
        <v>45213</v>
      </c>
      <c r="I288">
        <v>85510</v>
      </c>
      <c r="J288">
        <v>8551</v>
      </c>
    </row>
    <row r="289" spans="1:10" x14ac:dyDescent="0.3">
      <c r="A289">
        <v>1288</v>
      </c>
      <c r="B289" t="s">
        <v>21</v>
      </c>
      <c r="C289" t="s">
        <v>11</v>
      </c>
      <c r="D289" t="s">
        <v>16</v>
      </c>
      <c r="E289" t="s">
        <v>17</v>
      </c>
      <c r="F289">
        <v>7</v>
      </c>
      <c r="G289">
        <v>21420</v>
      </c>
      <c r="H289" s="1">
        <v>45214</v>
      </c>
      <c r="I289">
        <v>149940</v>
      </c>
      <c r="J289">
        <v>4284</v>
      </c>
    </row>
    <row r="290" spans="1:10" x14ac:dyDescent="0.3">
      <c r="A290">
        <v>1289</v>
      </c>
      <c r="B290" t="s">
        <v>34</v>
      </c>
      <c r="C290" t="s">
        <v>15</v>
      </c>
      <c r="D290" t="s">
        <v>22</v>
      </c>
      <c r="E290" t="s">
        <v>33</v>
      </c>
      <c r="F290">
        <v>5</v>
      </c>
      <c r="G290">
        <v>22452</v>
      </c>
      <c r="H290" s="1">
        <v>45215</v>
      </c>
      <c r="I290">
        <v>112260</v>
      </c>
      <c r="J290">
        <v>4490.4000000000015</v>
      </c>
    </row>
    <row r="291" spans="1:10" x14ac:dyDescent="0.3">
      <c r="A291">
        <v>1290</v>
      </c>
      <c r="B291" t="s">
        <v>34</v>
      </c>
      <c r="C291" t="s">
        <v>15</v>
      </c>
      <c r="D291" t="s">
        <v>16</v>
      </c>
      <c r="E291" t="s">
        <v>28</v>
      </c>
      <c r="F291">
        <v>6</v>
      </c>
      <c r="G291">
        <v>46648</v>
      </c>
      <c r="H291" s="1">
        <v>45216</v>
      </c>
      <c r="I291">
        <v>279888</v>
      </c>
      <c r="J291">
        <v>9329.6</v>
      </c>
    </row>
    <row r="292" spans="1:10" x14ac:dyDescent="0.3">
      <c r="A292">
        <v>1291</v>
      </c>
      <c r="B292" t="s">
        <v>21</v>
      </c>
      <c r="C292" t="s">
        <v>27</v>
      </c>
      <c r="D292" t="s">
        <v>22</v>
      </c>
      <c r="E292" t="s">
        <v>13</v>
      </c>
      <c r="F292">
        <v>2</v>
      </c>
      <c r="G292">
        <v>39001</v>
      </c>
      <c r="H292" s="1">
        <v>45217</v>
      </c>
      <c r="I292">
        <v>78002</v>
      </c>
      <c r="J292">
        <v>7800.2000000000007</v>
      </c>
    </row>
    <row r="293" spans="1:10" x14ac:dyDescent="0.3">
      <c r="A293">
        <v>1292</v>
      </c>
      <c r="B293" t="s">
        <v>26</v>
      </c>
      <c r="C293" t="s">
        <v>11</v>
      </c>
      <c r="D293" t="s">
        <v>12</v>
      </c>
      <c r="E293" t="s">
        <v>28</v>
      </c>
      <c r="F293">
        <v>5</v>
      </c>
      <c r="G293">
        <v>10516</v>
      </c>
      <c r="H293" s="1">
        <v>45218</v>
      </c>
      <c r="I293">
        <v>52580</v>
      </c>
      <c r="J293">
        <v>2103.2000000000003</v>
      </c>
    </row>
    <row r="294" spans="1:10" x14ac:dyDescent="0.3">
      <c r="A294">
        <v>1293</v>
      </c>
      <c r="B294" t="s">
        <v>14</v>
      </c>
      <c r="C294" t="s">
        <v>27</v>
      </c>
      <c r="D294" t="s">
        <v>22</v>
      </c>
      <c r="E294" t="s">
        <v>17</v>
      </c>
      <c r="F294">
        <v>4</v>
      </c>
      <c r="G294">
        <v>48327</v>
      </c>
      <c r="H294" s="1">
        <v>45219</v>
      </c>
      <c r="I294">
        <v>193308</v>
      </c>
      <c r="J294">
        <v>9665.4</v>
      </c>
    </row>
    <row r="295" spans="1:10" x14ac:dyDescent="0.3">
      <c r="A295">
        <v>1294</v>
      </c>
      <c r="B295" t="s">
        <v>26</v>
      </c>
      <c r="C295" t="s">
        <v>15</v>
      </c>
      <c r="D295" t="s">
        <v>22</v>
      </c>
      <c r="E295" t="s">
        <v>29</v>
      </c>
      <c r="F295">
        <v>9</v>
      </c>
      <c r="G295">
        <v>3396</v>
      </c>
      <c r="H295" s="1">
        <v>45220</v>
      </c>
      <c r="I295">
        <v>30564</v>
      </c>
      <c r="J295">
        <v>679.2</v>
      </c>
    </row>
    <row r="296" spans="1:10" x14ac:dyDescent="0.3">
      <c r="A296">
        <v>1295</v>
      </c>
      <c r="B296" t="s">
        <v>34</v>
      </c>
      <c r="C296" t="s">
        <v>15</v>
      </c>
      <c r="D296" t="s">
        <v>19</v>
      </c>
      <c r="E296" t="s">
        <v>17</v>
      </c>
      <c r="F296">
        <v>6</v>
      </c>
      <c r="G296">
        <v>19546</v>
      </c>
      <c r="H296" s="1">
        <v>45221</v>
      </c>
      <c r="I296">
        <v>117276</v>
      </c>
      <c r="J296">
        <v>3909.2000000000003</v>
      </c>
    </row>
    <row r="297" spans="1:10" x14ac:dyDescent="0.3">
      <c r="A297">
        <v>1296</v>
      </c>
      <c r="B297" t="s">
        <v>34</v>
      </c>
      <c r="C297" t="s">
        <v>24</v>
      </c>
      <c r="D297" t="s">
        <v>16</v>
      </c>
      <c r="E297" t="s">
        <v>31</v>
      </c>
      <c r="F297">
        <v>2</v>
      </c>
      <c r="G297">
        <v>20129</v>
      </c>
      <c r="H297" s="1">
        <v>45222</v>
      </c>
      <c r="I297">
        <v>40258</v>
      </c>
      <c r="J297">
        <v>4025.8</v>
      </c>
    </row>
    <row r="298" spans="1:10" x14ac:dyDescent="0.3">
      <c r="A298">
        <v>1297</v>
      </c>
      <c r="B298" t="s">
        <v>21</v>
      </c>
      <c r="C298" t="s">
        <v>11</v>
      </c>
      <c r="D298" t="s">
        <v>22</v>
      </c>
      <c r="E298" t="s">
        <v>17</v>
      </c>
      <c r="F298">
        <v>1</v>
      </c>
      <c r="G298">
        <v>2591</v>
      </c>
      <c r="H298" s="1">
        <v>45223</v>
      </c>
      <c r="I298">
        <v>2591</v>
      </c>
      <c r="J298">
        <v>518.20000000000005</v>
      </c>
    </row>
    <row r="299" spans="1:10" x14ac:dyDescent="0.3">
      <c r="A299">
        <v>1298</v>
      </c>
      <c r="B299" t="s">
        <v>30</v>
      </c>
      <c r="C299" t="s">
        <v>27</v>
      </c>
      <c r="D299" t="s">
        <v>22</v>
      </c>
      <c r="E299" t="s">
        <v>31</v>
      </c>
      <c r="F299">
        <v>5</v>
      </c>
      <c r="G299">
        <v>12303</v>
      </c>
      <c r="H299" s="1">
        <v>45224</v>
      </c>
      <c r="I299">
        <v>61515</v>
      </c>
      <c r="J299">
        <v>2460.6000000000004</v>
      </c>
    </row>
    <row r="300" spans="1:10" x14ac:dyDescent="0.3">
      <c r="A300">
        <v>1299</v>
      </c>
      <c r="B300" t="s">
        <v>26</v>
      </c>
      <c r="C300" t="s">
        <v>15</v>
      </c>
      <c r="D300" t="s">
        <v>19</v>
      </c>
      <c r="E300" t="s">
        <v>17</v>
      </c>
      <c r="F300">
        <v>9</v>
      </c>
      <c r="G300">
        <v>31561</v>
      </c>
      <c r="H300" s="1">
        <v>45225</v>
      </c>
      <c r="I300">
        <v>284049</v>
      </c>
      <c r="J300">
        <v>6312.2000000000007</v>
      </c>
    </row>
    <row r="301" spans="1:10" x14ac:dyDescent="0.3">
      <c r="A301">
        <v>1300</v>
      </c>
      <c r="B301" t="s">
        <v>35</v>
      </c>
      <c r="C301" t="s">
        <v>15</v>
      </c>
      <c r="D301" t="s">
        <v>19</v>
      </c>
      <c r="E301" t="s">
        <v>20</v>
      </c>
      <c r="F301">
        <v>6</v>
      </c>
      <c r="G301">
        <v>7183</v>
      </c>
      <c r="H301" s="1">
        <v>45226</v>
      </c>
      <c r="I301">
        <v>43098</v>
      </c>
      <c r="J301">
        <v>1436.6000000000001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15FC8-2A04-4344-9094-88DFE23014FD}">
  <dimension ref="A1:L72"/>
  <sheetViews>
    <sheetView workbookViewId="0">
      <selection activeCell="A25" sqref="A25:XFD25"/>
    </sheetView>
  </sheetViews>
  <sheetFormatPr defaultRowHeight="14.4" x14ac:dyDescent="0.3"/>
  <cols>
    <col min="1" max="1" width="12.5546875" bestFit="1" customWidth="1"/>
    <col min="2" max="2" width="11.6640625" bestFit="1" customWidth="1"/>
    <col min="3" max="3" width="12.109375" bestFit="1" customWidth="1"/>
  </cols>
  <sheetData>
    <row r="1" spans="1:12" ht="15" thickBot="1" x14ac:dyDescent="0.35"/>
    <row r="2" spans="1:12" ht="15" thickBot="1" x14ac:dyDescent="0.35">
      <c r="A2" s="20" t="s">
        <v>49</v>
      </c>
      <c r="B2" s="21"/>
      <c r="C2" s="21"/>
      <c r="D2" s="21"/>
      <c r="E2" s="21"/>
      <c r="F2" s="21"/>
      <c r="G2" s="21"/>
      <c r="H2" s="21"/>
      <c r="I2" s="21"/>
      <c r="J2" s="22"/>
    </row>
    <row r="3" spans="1:12" ht="15" thickBot="1" x14ac:dyDescent="0.35">
      <c r="A3" s="11" t="s">
        <v>37</v>
      </c>
      <c r="B3" s="15" t="s">
        <v>36</v>
      </c>
      <c r="C3" s="2"/>
      <c r="D3" s="2"/>
      <c r="E3" s="2"/>
      <c r="F3" s="2"/>
      <c r="G3" s="2"/>
      <c r="H3" s="2"/>
      <c r="I3" s="2"/>
      <c r="J3" s="3"/>
    </row>
    <row r="4" spans="1:12" x14ac:dyDescent="0.3">
      <c r="A4" s="12" t="s">
        <v>39</v>
      </c>
      <c r="B4" s="14">
        <v>634304</v>
      </c>
      <c r="J4" s="6"/>
    </row>
    <row r="5" spans="1:12" x14ac:dyDescent="0.3">
      <c r="A5" s="12" t="s">
        <v>40</v>
      </c>
      <c r="B5" s="14">
        <v>528643</v>
      </c>
      <c r="J5" s="6"/>
    </row>
    <row r="6" spans="1:12" x14ac:dyDescent="0.3">
      <c r="A6" s="12" t="s">
        <v>41</v>
      </c>
      <c r="B6" s="14">
        <v>570400</v>
      </c>
      <c r="J6" s="6"/>
    </row>
    <row r="7" spans="1:12" x14ac:dyDescent="0.3">
      <c r="A7" s="12" t="s">
        <v>42</v>
      </c>
      <c r="B7" s="14">
        <v>479652</v>
      </c>
      <c r="J7" s="6"/>
    </row>
    <row r="8" spans="1:12" x14ac:dyDescent="0.3">
      <c r="A8" s="12" t="s">
        <v>43</v>
      </c>
      <c r="B8" s="14">
        <v>631283</v>
      </c>
      <c r="J8" s="6"/>
    </row>
    <row r="9" spans="1:12" x14ac:dyDescent="0.3">
      <c r="A9" s="12" t="s">
        <v>44</v>
      </c>
      <c r="B9" s="14">
        <v>596878</v>
      </c>
      <c r="J9" s="6"/>
      <c r="L9" t="s">
        <v>51</v>
      </c>
    </row>
    <row r="10" spans="1:12" x14ac:dyDescent="0.3">
      <c r="A10" s="12" t="s">
        <v>45</v>
      </c>
      <c r="B10" s="14">
        <v>783782</v>
      </c>
      <c r="J10" s="6"/>
      <c r="K10" t="s">
        <v>52</v>
      </c>
      <c r="L10" s="5">
        <f>GETPIVOTDATA("Sales",$A$3)</f>
        <v>6075929</v>
      </c>
    </row>
    <row r="11" spans="1:12" x14ac:dyDescent="0.3">
      <c r="A11" s="12" t="s">
        <v>46</v>
      </c>
      <c r="B11" s="14">
        <v>673752</v>
      </c>
      <c r="J11" s="6"/>
      <c r="K11" t="s">
        <v>53</v>
      </c>
      <c r="L11" s="5">
        <f>GETPIVOTDATA("Profit",$A$19)</f>
        <v>1215185.8000000003</v>
      </c>
    </row>
    <row r="12" spans="1:12" x14ac:dyDescent="0.3">
      <c r="A12" s="12" t="s">
        <v>47</v>
      </c>
      <c r="B12" s="14">
        <v>656485</v>
      </c>
      <c r="J12" s="6"/>
    </row>
    <row r="13" spans="1:12" ht="15" thickBot="1" x14ac:dyDescent="0.35">
      <c r="A13" s="13" t="s">
        <v>48</v>
      </c>
      <c r="B13" s="14">
        <v>520750</v>
      </c>
      <c r="J13" s="6"/>
    </row>
    <row r="14" spans="1:12" ht="15" thickBot="1" x14ac:dyDescent="0.35">
      <c r="A14" s="13" t="s">
        <v>38</v>
      </c>
      <c r="B14" s="19">
        <v>6075929</v>
      </c>
      <c r="J14" s="6"/>
    </row>
    <row r="15" spans="1:12" x14ac:dyDescent="0.3">
      <c r="A15" s="7"/>
      <c r="J15" s="6"/>
    </row>
    <row r="16" spans="1:12" ht="15" thickBot="1" x14ac:dyDescent="0.35">
      <c r="A16" s="8"/>
      <c r="B16" s="9"/>
      <c r="C16" s="9"/>
      <c r="D16" s="9"/>
      <c r="E16" s="9"/>
      <c r="F16" s="9"/>
      <c r="G16" s="9"/>
      <c r="H16" s="9"/>
      <c r="I16" s="9"/>
      <c r="J16" s="10"/>
    </row>
    <row r="19" spans="1:8" ht="15" thickBot="1" x14ac:dyDescent="0.35">
      <c r="A19" s="11" t="s">
        <v>37</v>
      </c>
      <c r="B19" s="15" t="s">
        <v>50</v>
      </c>
    </row>
    <row r="20" spans="1:8" x14ac:dyDescent="0.3">
      <c r="A20" s="12" t="s">
        <v>39</v>
      </c>
      <c r="B20" s="14">
        <v>126860.80000000003</v>
      </c>
    </row>
    <row r="21" spans="1:8" x14ac:dyDescent="0.3">
      <c r="A21" s="12" t="s">
        <v>40</v>
      </c>
      <c r="B21" s="14">
        <v>105728.60000000002</v>
      </c>
    </row>
    <row r="22" spans="1:8" x14ac:dyDescent="0.3">
      <c r="A22" s="12" t="s">
        <v>41</v>
      </c>
      <c r="B22" s="14">
        <v>114080.00000000001</v>
      </c>
    </row>
    <row r="23" spans="1:8" x14ac:dyDescent="0.3">
      <c r="A23" s="12" t="s">
        <v>42</v>
      </c>
      <c r="B23" s="14">
        <v>95930.400000000009</v>
      </c>
    </row>
    <row r="24" spans="1:8" x14ac:dyDescent="0.3">
      <c r="A24" s="12" t="s">
        <v>43</v>
      </c>
      <c r="B24" s="14">
        <v>126256.6</v>
      </c>
    </row>
    <row r="25" spans="1:8" x14ac:dyDescent="0.3">
      <c r="A25" s="12" t="s">
        <v>44</v>
      </c>
      <c r="B25" s="14">
        <v>119375.6</v>
      </c>
    </row>
    <row r="26" spans="1:8" x14ac:dyDescent="0.3">
      <c r="A26" s="12" t="s">
        <v>45</v>
      </c>
      <c r="B26" s="14">
        <v>156756.40000000002</v>
      </c>
    </row>
    <row r="27" spans="1:8" x14ac:dyDescent="0.3">
      <c r="A27" s="12" t="s">
        <v>46</v>
      </c>
      <c r="B27" s="14">
        <v>134750.40000000002</v>
      </c>
    </row>
    <row r="28" spans="1:8" x14ac:dyDescent="0.3">
      <c r="A28" s="12" t="s">
        <v>47</v>
      </c>
      <c r="B28" s="14">
        <v>131297</v>
      </c>
      <c r="H28">
        <f>GETPIVOTDATA("Sales",$A$3)</f>
        <v>6075929</v>
      </c>
    </row>
    <row r="29" spans="1:8" ht="15" thickBot="1" x14ac:dyDescent="0.35">
      <c r="A29" s="13" t="s">
        <v>48</v>
      </c>
      <c r="B29" s="14">
        <v>104150.00000000001</v>
      </c>
    </row>
    <row r="30" spans="1:8" ht="15" thickBot="1" x14ac:dyDescent="0.35">
      <c r="A30" s="13" t="s">
        <v>38</v>
      </c>
      <c r="B30" s="15">
        <v>1215185.8000000003</v>
      </c>
    </row>
    <row r="33" spans="1:2" ht="15" thickBot="1" x14ac:dyDescent="0.35">
      <c r="A33" s="16" t="s">
        <v>37</v>
      </c>
      <c r="B33" s="15" t="s">
        <v>50</v>
      </c>
    </row>
    <row r="34" spans="1:2" x14ac:dyDescent="0.3">
      <c r="A34" s="4" t="s">
        <v>11</v>
      </c>
      <c r="B34" s="17">
        <v>415591.39999999997</v>
      </c>
    </row>
    <row r="35" spans="1:2" x14ac:dyDescent="0.3">
      <c r="A35" s="4" t="s">
        <v>24</v>
      </c>
      <c r="B35" s="17">
        <v>369859.4</v>
      </c>
    </row>
    <row r="36" spans="1:2" x14ac:dyDescent="0.3">
      <c r="A36" s="4" t="s">
        <v>15</v>
      </c>
      <c r="B36" s="17">
        <v>429735.00000000006</v>
      </c>
    </row>
    <row r="37" spans="1:2" ht="15" thickBot="1" x14ac:dyDescent="0.35">
      <c r="A37" s="13" t="s">
        <v>38</v>
      </c>
      <c r="B37" s="18">
        <v>1215185.8</v>
      </c>
    </row>
    <row r="44" spans="1:2" ht="15" thickBot="1" x14ac:dyDescent="0.35">
      <c r="A44" s="16" t="s">
        <v>37</v>
      </c>
      <c r="B44" s="15" t="s">
        <v>36</v>
      </c>
    </row>
    <row r="45" spans="1:2" x14ac:dyDescent="0.3">
      <c r="A45" s="4" t="s">
        <v>11</v>
      </c>
      <c r="B45" s="17">
        <v>2077957</v>
      </c>
    </row>
    <row r="46" spans="1:2" x14ac:dyDescent="0.3">
      <c r="A46" s="4" t="s">
        <v>24</v>
      </c>
      <c r="B46" s="17">
        <v>1849297</v>
      </c>
    </row>
    <row r="47" spans="1:2" x14ac:dyDescent="0.3">
      <c r="A47" s="4" t="s">
        <v>15</v>
      </c>
      <c r="B47" s="17">
        <v>2148675</v>
      </c>
    </row>
    <row r="48" spans="1:2" ht="15" thickBot="1" x14ac:dyDescent="0.35">
      <c r="A48" s="13" t="s">
        <v>38</v>
      </c>
      <c r="B48" s="18">
        <v>6075929</v>
      </c>
    </row>
    <row r="57" spans="1:2" ht="15" thickBot="1" x14ac:dyDescent="0.35">
      <c r="A57" s="16" t="s">
        <v>37</v>
      </c>
      <c r="B57" s="15" t="s">
        <v>50</v>
      </c>
    </row>
    <row r="58" spans="1:2" x14ac:dyDescent="0.3">
      <c r="A58" s="4" t="s">
        <v>12</v>
      </c>
      <c r="B58" s="17">
        <v>250475.6</v>
      </c>
    </row>
    <row r="59" spans="1:2" x14ac:dyDescent="0.3">
      <c r="A59" s="4" t="s">
        <v>16</v>
      </c>
      <c r="B59" s="17">
        <v>240443.59999999995</v>
      </c>
    </row>
    <row r="60" spans="1:2" x14ac:dyDescent="0.3">
      <c r="A60" s="4" t="s">
        <v>22</v>
      </c>
      <c r="B60" s="17">
        <v>397760.20000000019</v>
      </c>
    </row>
    <row r="61" spans="1:2" x14ac:dyDescent="0.3">
      <c r="A61" s="4" t="s">
        <v>19</v>
      </c>
      <c r="B61" s="17">
        <v>326506.39999999997</v>
      </c>
    </row>
    <row r="62" spans="1:2" ht="15" thickBot="1" x14ac:dyDescent="0.35">
      <c r="A62" s="13" t="s">
        <v>38</v>
      </c>
      <c r="B62" s="18">
        <v>1215185.8</v>
      </c>
    </row>
    <row r="67" spans="1:2" ht="15" thickBot="1" x14ac:dyDescent="0.35">
      <c r="A67" s="16" t="s">
        <v>37</v>
      </c>
      <c r="B67" s="15" t="s">
        <v>36</v>
      </c>
    </row>
    <row r="68" spans="1:2" x14ac:dyDescent="0.3">
      <c r="A68" s="4" t="s">
        <v>12</v>
      </c>
      <c r="B68" s="17">
        <v>1252378</v>
      </c>
    </row>
    <row r="69" spans="1:2" x14ac:dyDescent="0.3">
      <c r="A69" s="4" t="s">
        <v>16</v>
      </c>
      <c r="B69" s="17">
        <v>1202218</v>
      </c>
    </row>
    <row r="70" spans="1:2" x14ac:dyDescent="0.3">
      <c r="A70" s="4" t="s">
        <v>22</v>
      </c>
      <c r="B70" s="17">
        <v>1988801</v>
      </c>
    </row>
    <row r="71" spans="1:2" x14ac:dyDescent="0.3">
      <c r="A71" s="4" t="s">
        <v>19</v>
      </c>
      <c r="B71" s="17">
        <v>1632532</v>
      </c>
    </row>
    <row r="72" spans="1:2" ht="15" thickBot="1" x14ac:dyDescent="0.35">
      <c r="A72" s="13" t="s">
        <v>38</v>
      </c>
      <c r="B72" s="18">
        <v>6075929</v>
      </c>
    </row>
  </sheetData>
  <mergeCells count="1">
    <mergeCell ref="A2:J2"/>
  </mergeCells>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307FC5-0ED6-4D1B-AD55-B27AA65FC1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sales_data_large (2)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vishwakarma ravindra</dc:creator>
  <cp:lastModifiedBy>vishwakarma ravindra</cp:lastModifiedBy>
  <dcterms:created xsi:type="dcterms:W3CDTF">2026-02-11T05:57:35Z</dcterms:created>
  <dcterms:modified xsi:type="dcterms:W3CDTF">2026-02-12T09:24:54Z</dcterms:modified>
</cp:coreProperties>
</file>